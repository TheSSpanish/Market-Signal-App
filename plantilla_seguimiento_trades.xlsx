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76ea6935c41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ciones" sheetId="1" r:id="Rad79b7c1fc4a4402"/>
    <x:sheet xmlns:r="http://schemas.openxmlformats.org/officeDocument/2006/relationships" name="Config" sheetId="2" r:id="R3410e8befc5f4f8a"/>
    <x:sheet xmlns:r="http://schemas.openxmlformats.org/officeDocument/2006/relationships" name="Resumen" sheetId="3" r:id="R198fd974a6be4c45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2" authorId="0">
      <x:text>
        <x:r>
          <x:t>Editable por el usuario. Valor por defecto del proyecto.</x:t>
        </x:r>
      </x:text>
    </x:comment>
    <x:comment ref="B3" authorId="0">
      <x:text>
        <x:r>
          <x:t>Editable por el usuario. Valor por defecto del proyecto.</x:t>
        </x:r>
      </x:text>
    </x:comment>
    <x:comment ref="B4" authorId="0">
      <x:text>
        <x:r>
          <x:t>Editable por el usuario. Valor por defecto del proyecto.</x:t>
        </x:r>
      </x:text>
    </x:comment>
    <x:comment ref="B5" authorId="0">
      <x:text>
        <x:r>
          <x:t>Editable por el usuario. Valor por defecto del proyecto.</x:t>
        </x:r>
      </x:text>
    </x:comment>
    <x:comment ref="B6" authorId="0">
      <x:text>
        <x:r>
          <x:t>Editable por el usuario. Valor por defecto del proyecto.</x:t>
        </x:r>
      </x:text>
    </x:comment>
    <x:comment ref="B7" authorId="0">
      <x:text>
        <x:r>
          <x:t>Editable por el usuario. Valor por defecto del proyecto.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%"/>
    <x:numFmt numFmtId="165" formatCode="0.0x"/>
    <x:numFmt numFmtId="166" formatCode="0.00x"/>
    <x:numFmt numFmtId="167" formatCode="0.0"/>
  </x:numFmts>
  <x:fonts count="6">
    <x:font>
      <x:sz val="11"/>
      <x:color theme="1"/>
      <x:name val="Calibri"/>
      <x:family val="2"/>
      <x:scheme val="minor"/>
    </x:font>
    <x:font>
      <x:b/>
      <x:color rgb="00FFFFFF"/>
    </x:font>
    <x:font>
      <x:color rgb="000000FF"/>
    </x:font>
    <x:font>
      <x:b/>
    </x:font>
    <x:font>
      <x:color rgb="00666666"/>
    </x:font>
    <x:font>
      <x:color rgb="00000000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FF2CC"/>
      </x:patternFill>
    </x:fill>
    <x:fill>
      <x:patternFill patternType="solid">
        <x:fgColor rgb="00D9EAF7"/>
      </x:patternFill>
    </x:fill>
    <x:fill>
      <x:patternFill patternType="solid">
        <x:fgColor rgb="00F3F3F3"/>
      </x:patternFill>
    </x:fill>
    <x:fill>
      <x:patternFill patternType="solid">
        <x:fgColor rgb="00D9EAD3"/>
      </x:patternFill>
    </x:fill>
  </x:fills>
  <x:borders count="2">
    <x:border>
      <x:left/>
      <x:right/>
      <x:top/>
      <x:bottom/>
      <x:diagonal/>
    </x:border>
    <x:border>
      <x:bottom style="thin">
        <x:color rgb="007F7F7F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0" xfId="0" applyAlignment="1">
      <x:alignment vertical="center"/>
    </x:xf>
    <x:xf numFmtId="0" fontId="2" fillId="0" borderId="0" xfId="0" applyAlignment="1">
      <x:alignment vertical="center"/>
    </x:xf>
    <x:xf numFmtId="167" fontId="0" fillId="0" borderId="0" xfId="0" applyAlignment="1">
      <x:alignment vertical="center"/>
    </x:xf>
    <x:xf numFmtId="164" fontId="0" fillId="0" borderId="0" xfId="0" applyAlignment="1">
      <x:alignment vertical="center"/>
    </x:xf>
    <x:xf numFmtId="165" fontId="0" fillId="0" borderId="0" xfId="0" applyAlignment="1">
      <x:alignment vertical="center"/>
    </x:xf>
    <x:xf numFmtId="40" fontId="0" fillId="0" borderId="0" xfId="0" applyAlignment="1">
      <x:alignment vertical="center"/>
    </x:xf>
    <x:xf numFmtId="40" fontId="5" fillId="5" borderId="0" xfId="0" applyAlignment="1">
      <x:alignment vertical="center"/>
    </x:xf>
    <x:xf numFmtId="164" fontId="5" fillId="5" borderId="0" xfId="0" applyAlignment="1">
      <x:alignment vertical="center"/>
    </x:xf>
    <x:xf numFmtId="166" fontId="5" fillId="5" borderId="0" xfId="0" applyAlignment="1">
      <x:alignment vertical="center"/>
    </x:xf>
    <x:xf numFmtId="0" fontId="1" fillId="2" borderId="0" xfId="0" applyAlignment="1">
      <x:alignment horizontal="center"/>
    </x:xf>
    <x:xf numFmtId="0" fontId="3" fillId="4" borderId="0" xfId="0" applyAlignment="1">
      <x:alignment vertical="center"/>
    </x:xf>
    <x:xf numFmtId="0" fontId="2" fillId="3" borderId="0" xfId="0" applyAlignment="1">
      <x:alignment vertical="center"/>
    </x:xf>
    <x:xf numFmtId="0" fontId="4" fillId="0" borderId="0" xfId="0" applyAlignment="1">
      <x:alignment vertical="center"/>
    </x:xf>
    <x:xf numFmtId="164" fontId="2" fillId="3" borderId="0" xfId="0" applyAlignment="1">
      <x:alignment vertical="center"/>
    </x:xf>
    <x:xf numFmtId="0" fontId="1" fillId="2" borderId="0" xfId="0"/>
    <x:xf numFmtId="0" fontId="3" fillId="4" borderId="1" xfId="0" applyAlignment="1">
      <x:alignment vertical="center"/>
    </x:xf>
    <x:xf numFmtId="0" fontId="5" fillId="6" borderId="1" xfId="0" applyAlignment="1">
      <x:alignment vertical="center"/>
    </x:xf>
    <x:xf numFmtId="164" fontId="5" fillId="6" borderId="1" xfId="0" applyAlignment="1">
      <x:alignment vertical="center"/>
    </x:xf>
    <x:xf numFmtId="40" fontId="5" fillId="5" borderId="1" xfId="0" applyAlignment="1">
      <x:alignment vertical="center"/>
    </x:xf>
    <x:xf numFmtId="164" fontId="5" fillId="5" borderId="1" xfId="0" applyAlignment="1">
      <x:alignment vertical="center"/>
    </x:xf>
    <x:xf numFmtId="166" fontId="5" fillId="5" borderId="1" xfId="0" applyAlignment="1">
      <x:alignment vertical="center"/>
    </x:xf>
    <x:xf numFmtId="166" fontId="5" fillId="6" borderId="1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1c560cef6450a" /><Relationship Type="http://schemas.openxmlformats.org/officeDocument/2006/relationships/theme" Target="/xl/theme/theme1.xml" Id="R570f0856833b4c8e" /><Relationship Type="http://schemas.openxmlformats.org/officeDocument/2006/relationships/sharedStrings" Target="/xl/sharedStrings.xml" Id="R9496cda2def34427" /><Relationship Type="http://schemas.openxmlformats.org/officeDocument/2006/relationships/worksheet" Target="/xl/worksheets/sheet1.xml" Id="Rad79b7c1fc4a4402" /><Relationship Type="http://schemas.openxmlformats.org/officeDocument/2006/relationships/worksheet" Target="/xl/worksheets/sheet2.xml" Id="R3410e8befc5f4f8a" /><Relationship Type="http://schemas.openxmlformats.org/officeDocument/2006/relationships/worksheet" Target="/xl/worksheets/sheet3.xml" Id="R198fd974a6be4c45" /><Relationship Type="http://schemas.microsoft.com/office/2017/10/relationships/person" Target="/xl/persons/person.xml" Id="Rc4b7d085a3d0455a" /></Relationships>
</file>

<file path=xl/persons/person.xml><?xml version="1.0" encoding="utf-8"?>
<xltc:personList xmlns:xltc="http://schemas.microsoft.com/office/spreadsheetml/2018/threadedcomments">
  <xltc:person displayName="OpenAI" id="{9268236F-AC5B-07E9-7808-93A719A98B6B}"/>
</xltc:personList>
</file>

<file path=xl/tables/table1.xml><?xml version="1.0" encoding="utf-8"?>
<x:table xmlns:x="http://schemas.openxmlformats.org/spreadsheetml/2006/main" id="1" name="tblOperaciones" displayName="tblOperaciones" ref="A1:Z301" headerRowCount="1">
  <x:autoFilter ref="A1:Z301"/>
  <x:tableColumns count="26">
    <x:tableColumn id="1" name="Fecha entrada"/>
    <x:tableColumn id="2" name="Ticker"/>
    <x:tableColumn id="3" name="Señal bot"/>
    <x:tableColumn id="4" name="Score"/>
    <x:tableColumn id="5" name="Benchmark"/>
    <x:tableColumn id="6" name="Rel.1m"/>
    <x:tableColumn id="7" name="Rel.3m"/>
    <x:tableColumn id="8" name="Semáforo"/>
    <x:tableColumn id="9" name="R/B"/>
    <x:tableColumn id="10" name="R/B neto"/>
    <x:tableColumn id="11" name="Precio entrada"/>
    <x:tableColumn id="12" name="Stop"/>
    <x:tableColumn id="13" name="Objetivo"/>
    <x:tableColumn id="14" name="Capital asignado"/>
    <x:tableColumn id="15" name="Acciones"/>
    <x:tableColumn id="16" name="Coste compra"/>
    <x:tableColumn id="17" name="Coste venta"/>
    <x:tableColumn id="18" name="Tobin compra"/>
    <x:tableColumn id="19" name="Coste total"/>
    <x:tableColumn id="20" name="Fecha salida"/>
    <x:tableColumn id="21" name="Precio salida"/>
    <x:tableColumn id="22" name="Resultado bruto"/>
    <x:tableColumn id="23" name="Resultado neto"/>
    <x:tableColumn id="24" name="Resultado %"/>
    <x:tableColumn id="25" name="Resultado en R"/>
    <x:tableColumn id="26" name="Estado abierta/cerrada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5da58781e749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71a72f6b0b6447e4" /><Relationship Type="http://schemas.openxmlformats.org/officeDocument/2006/relationships/vmlDrawing" Target="/xl/drawings/vmldrawing.vml" Id="R250b8874c63f4a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2" customWidth="1"/>
    <x:col min="3" max="3" width="15" customWidth="1"/>
    <x:col min="4" max="4" width="10" customWidth="1"/>
    <x:col min="5" max="5" width="12" customWidth="1"/>
    <x:col min="6" max="6" width="10" customWidth="1"/>
    <x:col min="7" max="7" width="10" customWidth="1"/>
    <x:col min="8" max="8" width="12" customWidth="1"/>
    <x:col min="9" max="9" width="10" customWidth="1"/>
    <x:col min="10" max="10" width="11" customWidth="1"/>
    <x:col min="11" max="11" width="13" customWidth="1"/>
    <x:col min="12" max="12" width="11" customWidth="1"/>
    <x:col min="13" max="13" width="11" customWidth="1"/>
    <x:col min="14" max="14" width="15" customWidth="1"/>
    <x:col min="15" max="15" width="10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4" customWidth="1"/>
    <x:col min="21" max="21" width="12" customWidth="1"/>
    <x:col min="22" max="22" width="14" customWidth="1"/>
    <x:col min="23" max="23" width="14" customWidth="1"/>
    <x:col min="24" max="24" width="11" customWidth="1"/>
    <x:col min="25" max="25" width="12" customWidth="1"/>
    <x:col min="26" max="26" width="18" customWidth="1"/>
  </x:cols>
  <x:sheetData>
    <x:row r="1">
      <x:c r="A1" s="1" t="inlineStr">
        <x:is>
          <x:t xml:space="preserve">Fecha entrada</x:t>
        </x:is>
      </x:c>
      <x:c r="B1" s="1" t="inlineStr">
        <x:is>
          <x:t xml:space="preserve">Ticker</x:t>
        </x:is>
      </x:c>
      <x:c r="C1" s="1" t="inlineStr">
        <x:is>
          <x:t xml:space="preserve">Señal bot</x:t>
        </x:is>
      </x:c>
      <x:c r="D1" s="1" t="inlineStr">
        <x:is>
          <x:t xml:space="preserve">Score</x:t>
        </x:is>
      </x:c>
      <x:c r="E1" s="1" t="inlineStr">
        <x:is>
          <x:t xml:space="preserve">Benchmark</x:t>
        </x:is>
      </x:c>
      <x:c r="F1" s="1" t="inlineStr">
        <x:is>
          <x:t xml:space="preserve">Rel.1m</x:t>
        </x:is>
      </x:c>
      <x:c r="G1" s="1" t="inlineStr">
        <x:is>
          <x:t xml:space="preserve">Rel.3m</x:t>
        </x:is>
      </x:c>
      <x:c r="H1" s="1" t="inlineStr">
        <x:is>
          <x:t xml:space="preserve">Semáforo</x:t>
        </x:is>
      </x:c>
      <x:c r="I1" s="1" t="inlineStr">
        <x:is>
          <x:t xml:space="preserve">R/B</x:t>
        </x:is>
      </x:c>
      <x:c r="J1" s="1" t="inlineStr">
        <x:is>
          <x:t xml:space="preserve">R/B neto</x:t>
        </x:is>
      </x:c>
      <x:c r="K1" s="1" t="inlineStr">
        <x:is>
          <x:t xml:space="preserve">Precio entrada</x:t>
        </x:is>
      </x:c>
      <x:c r="L1" s="1" t="inlineStr">
        <x:is>
          <x:t xml:space="preserve">Stop</x:t>
        </x:is>
      </x:c>
      <x:c r="M1" s="1" t="inlineStr">
        <x:is>
          <x:t xml:space="preserve">Objetivo</x:t>
        </x:is>
      </x:c>
      <x:c r="N1" s="1" t="inlineStr">
        <x:is>
          <x:t xml:space="preserve">Capital asignado</x:t>
        </x:is>
      </x:c>
      <x:c r="O1" s="1" t="inlineStr">
        <x:is>
          <x:t xml:space="preserve">Acciones</x:t>
        </x:is>
      </x:c>
      <x:c r="P1" s="1" t="inlineStr">
        <x:is>
          <x:t xml:space="preserve">Coste compra</x:t>
        </x:is>
      </x:c>
      <x:c r="Q1" s="1" t="inlineStr">
        <x:is>
          <x:t xml:space="preserve">Coste venta</x:t>
        </x:is>
      </x:c>
      <x:c r="R1" s="1" t="inlineStr">
        <x:is>
          <x:t xml:space="preserve">Tobin compra</x:t>
        </x:is>
      </x:c>
      <x:c r="S1" s="1" t="inlineStr">
        <x:is>
          <x:t xml:space="preserve">Coste total</x:t>
        </x:is>
      </x:c>
      <x:c r="T1" s="1" t="inlineStr">
        <x:is>
          <x:t xml:space="preserve">Fecha salida</x:t>
        </x:is>
      </x:c>
      <x:c r="U1" s="1" t="inlineStr">
        <x:is>
          <x:t xml:space="preserve">Precio salida</x:t>
        </x:is>
      </x:c>
      <x:c r="V1" s="1" t="inlineStr">
        <x:is>
          <x:t xml:space="preserve">Resultado bruto</x:t>
        </x:is>
      </x:c>
      <x:c r="W1" s="1" t="inlineStr">
        <x:is>
          <x:t xml:space="preserve">Resultado neto</x:t>
        </x:is>
      </x:c>
      <x:c r="X1" s="1" t="inlineStr">
        <x:is>
          <x:t xml:space="preserve">Resultado %</x:t>
        </x:is>
      </x:c>
      <x:c r="Y1" s="1" t="inlineStr">
        <x:is>
          <x:t xml:space="preserve">Resultado en R</x:t>
        </x:is>
      </x:c>
      <x:c r="Z1" s="1" t="inlineStr">
        <x:is>
          <x:t xml:space="preserve">Estado abierta/cerrada</x:t>
        </x:is>
      </x:c>
    </x:row>
    <x:row r="2">
      <x:c r="A2" s="2" t="n"/>
      <x:c r="B2" s="3" t="n"/>
      <x:c r="C2" s="2" t="n"/>
      <x:c r="D2" s="4" t="n"/>
      <x:c r="E2" s="2" t="n"/>
      <x:c r="F2" s="5" t="n"/>
      <x:c r="G2" s="5" t="n"/>
      <x:c r="H2" s="2" t="n"/>
      <x:c r="I2" s="6" t="n"/>
      <x:c r="J2" s="6" t="n"/>
      <x:c r="K2" s="7" t="n"/>
      <x:c r="L2" s="7" t="n"/>
      <x:c r="M2" s="7" t="n"/>
      <x:c r="N2" s="7" t="n"/>
      <x:c r="O2" s="2" t="n"/>
      <x:c r="P2" s="7" t="n"/>
      <x:c r="Q2" s="7" t="n"/>
      <x:c r="R2" s="7" t="n"/>
      <x:c r="S2" s="7" t="n"/>
      <x:c r="T2" s="2" t="n"/>
      <x:c r="U2" s="7" t="n"/>
      <x:c r="V2" s="8">
        <x:f>IF(OR(U2="",O2="",K2=""),"", (U2-K2)*O2)</x:f>
      </x:c>
      <x:c r="W2" s="8">
        <x:f>IF(V2="","", V2-S2)</x:f>
      </x:c>
      <x:c r="X2" s="9">
        <x:f>IF(OR(W2="",N2=0),"", W2/N2)</x:f>
      </x:c>
      <x:c r="Y2" s="10">
        <x:f>IF(OR(W2="",Config!$B$2=0,Config!$B$1=0),"", W2/(Config!$B$1*Config!$B$2))</x:f>
      </x:c>
      <x:c r="Z2" s="2" t="inlineStr">
        <x:is>
          <x:t xml:space="preserve"/>
        </x:is>
      </x:c>
    </x:row>
    <x:row r="3">
      <x:c r="A3" s="2" t="n"/>
      <x:c r="B3" s="3" t="n"/>
      <x:c r="C3" s="2" t="n"/>
      <x:c r="D3" s="4" t="n"/>
      <x:c r="E3" s="2" t="n"/>
      <x:c r="F3" s="5" t="n"/>
      <x:c r="G3" s="5" t="n"/>
      <x:c r="H3" s="2" t="n"/>
      <x:c r="I3" s="6" t="n"/>
      <x:c r="J3" s="6" t="n"/>
      <x:c r="K3" s="7" t="n"/>
      <x:c r="L3" s="7" t="n"/>
      <x:c r="M3" s="7" t="n"/>
      <x:c r="N3" s="7" t="n"/>
      <x:c r="O3" s="2" t="n"/>
      <x:c r="P3" s="7" t="n"/>
      <x:c r="Q3" s="7" t="n"/>
      <x:c r="R3" s="7" t="n"/>
      <x:c r="S3" s="7" t="n"/>
      <x:c r="T3" s="2" t="n"/>
      <x:c r="U3" s="7" t="n"/>
      <x:c r="V3" s="8">
        <x:f>IF(OR(U3="",O3="",K3=""),"", (U3-K3)*O3)</x:f>
      </x:c>
      <x:c r="W3" s="8">
        <x:f>IF(V3="","", V3-S3)</x:f>
      </x:c>
      <x:c r="X3" s="9">
        <x:f>IF(OR(W3="",N3=0),"", W3/N3)</x:f>
      </x:c>
      <x:c r="Y3" s="10">
        <x:f>IF(OR(W3="",Config!$B$2=0,Config!$B$1=0),"", W3/(Config!$B$1*Config!$B$2))</x:f>
      </x:c>
      <x:c r="Z3" s="2" t="inlineStr">
        <x:is>
          <x:t xml:space="preserve"/>
        </x:is>
      </x:c>
    </x:row>
    <x:row r="4">
      <x:c r="A4" s="2" t="n"/>
      <x:c r="B4" s="3" t="n"/>
      <x:c r="C4" s="2" t="n"/>
      <x:c r="D4" s="4" t="n"/>
      <x:c r="E4" s="2" t="n"/>
      <x:c r="F4" s="5" t="n"/>
      <x:c r="G4" s="5" t="n"/>
      <x:c r="H4" s="2" t="n"/>
      <x:c r="I4" s="6" t="n"/>
      <x:c r="J4" s="6" t="n"/>
      <x:c r="K4" s="7" t="n"/>
      <x:c r="L4" s="7" t="n"/>
      <x:c r="M4" s="7" t="n"/>
      <x:c r="N4" s="7" t="n"/>
      <x:c r="O4" s="2" t="n"/>
      <x:c r="P4" s="7" t="n"/>
      <x:c r="Q4" s="7" t="n"/>
      <x:c r="R4" s="7" t="n"/>
      <x:c r="S4" s="7" t="n"/>
      <x:c r="T4" s="2" t="n"/>
      <x:c r="U4" s="7" t="n"/>
      <x:c r="V4" s="8">
        <x:f>IF(OR(U4="",O4="",K4=""),"", (U4-K4)*O4)</x:f>
      </x:c>
      <x:c r="W4" s="8">
        <x:f>IF(V4="","", V4-S4)</x:f>
      </x:c>
      <x:c r="X4" s="9">
        <x:f>IF(OR(W4="",N4=0),"", W4/N4)</x:f>
      </x:c>
      <x:c r="Y4" s="10">
        <x:f>IF(OR(W4="",Config!$B$2=0,Config!$B$1=0),"", W4/(Config!$B$1*Config!$B$2))</x:f>
      </x:c>
      <x:c r="Z4" s="2" t="inlineStr">
        <x:is>
          <x:t xml:space="preserve"/>
        </x:is>
      </x:c>
    </x:row>
    <x:row r="5">
      <x:c r="A5" s="2" t="n"/>
      <x:c r="B5" s="3" t="n"/>
      <x:c r="C5" s="2" t="n"/>
      <x:c r="D5" s="4" t="n"/>
      <x:c r="E5" s="2" t="n"/>
      <x:c r="F5" s="5" t="n"/>
      <x:c r="G5" s="5" t="n"/>
      <x:c r="H5" s="2" t="n"/>
      <x:c r="I5" s="6" t="n"/>
      <x:c r="J5" s="6" t="n"/>
      <x:c r="K5" s="7" t="n"/>
      <x:c r="L5" s="7" t="n"/>
      <x:c r="M5" s="7" t="n"/>
      <x:c r="N5" s="7" t="n"/>
      <x:c r="O5" s="2" t="n"/>
      <x:c r="P5" s="7" t="n"/>
      <x:c r="Q5" s="7" t="n"/>
      <x:c r="R5" s="7" t="n"/>
      <x:c r="S5" s="7" t="n"/>
      <x:c r="T5" s="2" t="n"/>
      <x:c r="U5" s="7" t="n"/>
      <x:c r="V5" s="8">
        <x:f>IF(OR(U5="",O5="",K5=""),"", (U5-K5)*O5)</x:f>
      </x:c>
      <x:c r="W5" s="8">
        <x:f>IF(V5="","", V5-S5)</x:f>
      </x:c>
      <x:c r="X5" s="9">
        <x:f>IF(OR(W5="",N5=0),"", W5/N5)</x:f>
      </x:c>
      <x:c r="Y5" s="10">
        <x:f>IF(OR(W5="",Config!$B$2=0,Config!$B$1=0),"", W5/(Config!$B$1*Config!$B$2))</x:f>
      </x:c>
      <x:c r="Z5" s="2" t="inlineStr">
        <x:is>
          <x:t xml:space="preserve"/>
        </x:is>
      </x:c>
    </x:row>
    <x:row r="6">
      <x:c r="A6" s="2" t="n"/>
      <x:c r="B6" s="3" t="n"/>
      <x:c r="C6" s="2" t="n"/>
      <x:c r="D6" s="4" t="n"/>
      <x:c r="E6" s="2" t="n"/>
      <x:c r="F6" s="5" t="n"/>
      <x:c r="G6" s="5" t="n"/>
      <x:c r="H6" s="2" t="n"/>
      <x:c r="I6" s="6" t="n"/>
      <x:c r="J6" s="6" t="n"/>
      <x:c r="K6" s="7" t="n"/>
      <x:c r="L6" s="7" t="n"/>
      <x:c r="M6" s="7" t="n"/>
      <x:c r="N6" s="7" t="n"/>
      <x:c r="O6" s="2" t="n"/>
      <x:c r="P6" s="7" t="n"/>
      <x:c r="Q6" s="7" t="n"/>
      <x:c r="R6" s="7" t="n"/>
      <x:c r="S6" s="7" t="n"/>
      <x:c r="T6" s="2" t="n"/>
      <x:c r="U6" s="7" t="n"/>
      <x:c r="V6" s="8">
        <x:f>IF(OR(U6="",O6="",K6=""),"", (U6-K6)*O6)</x:f>
      </x:c>
      <x:c r="W6" s="8">
        <x:f>IF(V6="","", V6-S6)</x:f>
      </x:c>
      <x:c r="X6" s="9">
        <x:f>IF(OR(W6="",N6=0),"", W6/N6)</x:f>
      </x:c>
      <x:c r="Y6" s="10">
        <x:f>IF(OR(W6="",Config!$B$2=0,Config!$B$1=0),"", W6/(Config!$B$1*Config!$B$2))</x:f>
      </x:c>
      <x:c r="Z6" s="2" t="inlineStr">
        <x:is>
          <x:t xml:space="preserve"/>
        </x:is>
      </x:c>
    </x:row>
    <x:row r="7">
      <x:c r="A7" s="2" t="n"/>
      <x:c r="B7" s="3" t="n"/>
      <x:c r="C7" s="2" t="n"/>
      <x:c r="D7" s="4" t="n"/>
      <x:c r="E7" s="2" t="n"/>
      <x:c r="F7" s="5" t="n"/>
      <x:c r="G7" s="5" t="n"/>
      <x:c r="H7" s="2" t="n"/>
      <x:c r="I7" s="6" t="n"/>
      <x:c r="J7" s="6" t="n"/>
      <x:c r="K7" s="7" t="n"/>
      <x:c r="L7" s="7" t="n"/>
      <x:c r="M7" s="7" t="n"/>
      <x:c r="N7" s="7" t="n"/>
      <x:c r="O7" s="2" t="n"/>
      <x:c r="P7" s="7" t="n"/>
      <x:c r="Q7" s="7" t="n"/>
      <x:c r="R7" s="7" t="n"/>
      <x:c r="S7" s="7" t="n"/>
      <x:c r="T7" s="2" t="n"/>
      <x:c r="U7" s="7" t="n"/>
      <x:c r="V7" s="8">
        <x:f>IF(OR(U7="",O7="",K7=""),"", (U7-K7)*O7)</x:f>
      </x:c>
      <x:c r="W7" s="8">
        <x:f>IF(V7="","", V7-S7)</x:f>
      </x:c>
      <x:c r="X7" s="9">
        <x:f>IF(OR(W7="",N7=0),"", W7/N7)</x:f>
      </x:c>
      <x:c r="Y7" s="10">
        <x:f>IF(OR(W7="",Config!$B$2=0,Config!$B$1=0),"", W7/(Config!$B$1*Config!$B$2))</x:f>
      </x:c>
      <x:c r="Z7" s="2" t="inlineStr">
        <x:is>
          <x:t xml:space="preserve"/>
        </x:is>
      </x:c>
    </x:row>
    <x:row r="8">
      <x:c r="A8" s="2" t="n"/>
      <x:c r="B8" s="3" t="n"/>
      <x:c r="C8" s="2" t="n"/>
      <x:c r="D8" s="4" t="n"/>
      <x:c r="E8" s="2" t="n"/>
      <x:c r="F8" s="5" t="n"/>
      <x:c r="G8" s="5" t="n"/>
      <x:c r="H8" s="2" t="n"/>
      <x:c r="I8" s="6" t="n"/>
      <x:c r="J8" s="6" t="n"/>
      <x:c r="K8" s="7" t="n"/>
      <x:c r="L8" s="7" t="n"/>
      <x:c r="M8" s="7" t="n"/>
      <x:c r="N8" s="7" t="n"/>
      <x:c r="O8" s="2" t="n"/>
      <x:c r="P8" s="7" t="n"/>
      <x:c r="Q8" s="7" t="n"/>
      <x:c r="R8" s="7" t="n"/>
      <x:c r="S8" s="7" t="n"/>
      <x:c r="T8" s="2" t="n"/>
      <x:c r="U8" s="7" t="n"/>
      <x:c r="V8" s="8">
        <x:f>IF(OR(U8="",O8="",K8=""),"", (U8-K8)*O8)</x:f>
      </x:c>
      <x:c r="W8" s="8">
        <x:f>IF(V8="","", V8-S8)</x:f>
      </x:c>
      <x:c r="X8" s="9">
        <x:f>IF(OR(W8="",N8=0),"", W8/N8)</x:f>
      </x:c>
      <x:c r="Y8" s="10">
        <x:f>IF(OR(W8="",Config!$B$2=0,Config!$B$1=0),"", W8/(Config!$B$1*Config!$B$2))</x:f>
      </x:c>
      <x:c r="Z8" s="2" t="inlineStr">
        <x:is>
          <x:t xml:space="preserve"/>
        </x:is>
      </x:c>
    </x:row>
    <x:row r="9">
      <x:c r="A9" s="2" t="n"/>
      <x:c r="B9" s="3" t="n"/>
      <x:c r="C9" s="2" t="n"/>
      <x:c r="D9" s="4" t="n"/>
      <x:c r="E9" s="2" t="n"/>
      <x:c r="F9" s="5" t="n"/>
      <x:c r="G9" s="5" t="n"/>
      <x:c r="H9" s="2" t="n"/>
      <x:c r="I9" s="6" t="n"/>
      <x:c r="J9" s="6" t="n"/>
      <x:c r="K9" s="7" t="n"/>
      <x:c r="L9" s="7" t="n"/>
      <x:c r="M9" s="7" t="n"/>
      <x:c r="N9" s="7" t="n"/>
      <x:c r="O9" s="2" t="n"/>
      <x:c r="P9" s="7" t="n"/>
      <x:c r="Q9" s="7" t="n"/>
      <x:c r="R9" s="7" t="n"/>
      <x:c r="S9" s="7" t="n"/>
      <x:c r="T9" s="2" t="n"/>
      <x:c r="U9" s="7" t="n"/>
      <x:c r="V9" s="8">
        <x:f>IF(OR(U9="",O9="",K9=""),"", (U9-K9)*O9)</x:f>
      </x:c>
      <x:c r="W9" s="8">
        <x:f>IF(V9="","", V9-S9)</x:f>
      </x:c>
      <x:c r="X9" s="9">
        <x:f>IF(OR(W9="",N9=0),"", W9/N9)</x:f>
      </x:c>
      <x:c r="Y9" s="10">
        <x:f>IF(OR(W9="",Config!$B$2=0,Config!$B$1=0),"", W9/(Config!$B$1*Config!$B$2))</x:f>
      </x:c>
      <x:c r="Z9" s="2" t="inlineStr">
        <x:is>
          <x:t xml:space="preserve"/>
        </x:is>
      </x:c>
    </x:row>
    <x:row r="10">
      <x:c r="A10" s="2" t="n"/>
      <x:c r="B10" s="3" t="n"/>
      <x:c r="C10" s="2" t="n"/>
      <x:c r="D10" s="4" t="n"/>
      <x:c r="E10" s="2" t="n"/>
      <x:c r="F10" s="5" t="n"/>
      <x:c r="G10" s="5" t="n"/>
      <x:c r="H10" s="2" t="n"/>
      <x:c r="I10" s="6" t="n"/>
      <x:c r="J10" s="6" t="n"/>
      <x:c r="K10" s="7" t="n"/>
      <x:c r="L10" s="7" t="n"/>
      <x:c r="M10" s="7" t="n"/>
      <x:c r="N10" s="7" t="n"/>
      <x:c r="O10" s="2" t="n"/>
      <x:c r="P10" s="7" t="n"/>
      <x:c r="Q10" s="7" t="n"/>
      <x:c r="R10" s="7" t="n"/>
      <x:c r="S10" s="7" t="n"/>
      <x:c r="T10" s="2" t="n"/>
      <x:c r="U10" s="7" t="n"/>
      <x:c r="V10" s="8">
        <x:f>IF(OR(U10="",O10="",K10=""),"", (U10-K10)*O10)</x:f>
      </x:c>
      <x:c r="W10" s="8">
        <x:f>IF(V10="","", V10-S10)</x:f>
      </x:c>
      <x:c r="X10" s="9">
        <x:f>IF(OR(W10="",N10=0),"", W10/N10)</x:f>
      </x:c>
      <x:c r="Y10" s="10">
        <x:f>IF(OR(W10="",Config!$B$2=0,Config!$B$1=0),"", W10/(Config!$B$1*Config!$B$2))</x:f>
      </x:c>
      <x:c r="Z10" s="2" t="inlineStr">
        <x:is>
          <x:t xml:space="preserve"/>
        </x:is>
      </x:c>
    </x:row>
    <x:row r="11">
      <x:c r="A11" s="2" t="n"/>
      <x:c r="B11" s="3" t="n"/>
      <x:c r="C11" s="2" t="n"/>
      <x:c r="D11" s="4" t="n"/>
      <x:c r="E11" s="2" t="n"/>
      <x:c r="F11" s="5" t="n"/>
      <x:c r="G11" s="5" t="n"/>
      <x:c r="H11" s="2" t="n"/>
      <x:c r="I11" s="6" t="n"/>
      <x:c r="J11" s="6" t="n"/>
      <x:c r="K11" s="7" t="n"/>
      <x:c r="L11" s="7" t="n"/>
      <x:c r="M11" s="7" t="n"/>
      <x:c r="N11" s="7" t="n"/>
      <x:c r="O11" s="2" t="n"/>
      <x:c r="P11" s="7" t="n"/>
      <x:c r="Q11" s="7" t="n"/>
      <x:c r="R11" s="7" t="n"/>
      <x:c r="S11" s="7" t="n"/>
      <x:c r="T11" s="2" t="n"/>
      <x:c r="U11" s="7" t="n"/>
      <x:c r="V11" s="8">
        <x:f>IF(OR(U11="",O11="",K11=""),"", (U11-K11)*O11)</x:f>
      </x:c>
      <x:c r="W11" s="8">
        <x:f>IF(V11="","", V11-S11)</x:f>
      </x:c>
      <x:c r="X11" s="9">
        <x:f>IF(OR(W11="",N11=0),"", W11/N11)</x:f>
      </x:c>
      <x:c r="Y11" s="10">
        <x:f>IF(OR(W11="",Config!$B$2=0,Config!$B$1=0),"", W11/(Config!$B$1*Config!$B$2))</x:f>
      </x:c>
      <x:c r="Z11" s="2" t="inlineStr">
        <x:is>
          <x:t xml:space="preserve"/>
        </x:is>
      </x:c>
    </x:row>
    <x:row r="12">
      <x:c r="A12" s="2" t="n"/>
      <x:c r="B12" s="3" t="n"/>
      <x:c r="C12" s="2" t="n"/>
      <x:c r="D12" s="4" t="n"/>
      <x:c r="E12" s="2" t="n"/>
      <x:c r="F12" s="5" t="n"/>
      <x:c r="G12" s="5" t="n"/>
      <x:c r="H12" s="2" t="n"/>
      <x:c r="I12" s="6" t="n"/>
      <x:c r="J12" s="6" t="n"/>
      <x:c r="K12" s="7" t="n"/>
      <x:c r="L12" s="7" t="n"/>
      <x:c r="M12" s="7" t="n"/>
      <x:c r="N12" s="7" t="n"/>
      <x:c r="O12" s="2" t="n"/>
      <x:c r="P12" s="7" t="n"/>
      <x:c r="Q12" s="7" t="n"/>
      <x:c r="R12" s="7" t="n"/>
      <x:c r="S12" s="7" t="n"/>
      <x:c r="T12" s="2" t="n"/>
      <x:c r="U12" s="7" t="n"/>
      <x:c r="V12" s="8">
        <x:f>IF(OR(U12="",O12="",K12=""),"", (U12-K12)*O12)</x:f>
      </x:c>
      <x:c r="W12" s="8">
        <x:f>IF(V12="","", V12-S12)</x:f>
      </x:c>
      <x:c r="X12" s="9">
        <x:f>IF(OR(W12="",N12=0),"", W12/N12)</x:f>
      </x:c>
      <x:c r="Y12" s="10">
        <x:f>IF(OR(W12="",Config!$B$2=0,Config!$B$1=0),"", W12/(Config!$B$1*Config!$B$2))</x:f>
      </x:c>
      <x:c r="Z12" s="2" t="inlineStr">
        <x:is>
          <x:t xml:space="preserve"/>
        </x:is>
      </x:c>
    </x:row>
    <x:row r="13">
      <x:c r="A13" s="2" t="n"/>
      <x:c r="B13" s="3" t="n"/>
      <x:c r="C13" s="2" t="n"/>
      <x:c r="D13" s="4" t="n"/>
      <x:c r="E13" s="2" t="n"/>
      <x:c r="F13" s="5" t="n"/>
      <x:c r="G13" s="5" t="n"/>
      <x:c r="H13" s="2" t="n"/>
      <x:c r="I13" s="6" t="n"/>
      <x:c r="J13" s="6" t="n"/>
      <x:c r="K13" s="7" t="n"/>
      <x:c r="L13" s="7" t="n"/>
      <x:c r="M13" s="7" t="n"/>
      <x:c r="N13" s="7" t="n"/>
      <x:c r="O13" s="2" t="n"/>
      <x:c r="P13" s="7" t="n"/>
      <x:c r="Q13" s="7" t="n"/>
      <x:c r="R13" s="7" t="n"/>
      <x:c r="S13" s="7" t="n"/>
      <x:c r="T13" s="2" t="n"/>
      <x:c r="U13" s="7" t="n"/>
      <x:c r="V13" s="8">
        <x:f>IF(OR(U13="",O13="",K13=""),"", (U13-K13)*O13)</x:f>
      </x:c>
      <x:c r="W13" s="8">
        <x:f>IF(V13="","", V13-S13)</x:f>
      </x:c>
      <x:c r="X13" s="9">
        <x:f>IF(OR(W13="",N13=0),"", W13/N13)</x:f>
      </x:c>
      <x:c r="Y13" s="10">
        <x:f>IF(OR(W13="",Config!$B$2=0,Config!$B$1=0),"", W13/(Config!$B$1*Config!$B$2))</x:f>
      </x:c>
      <x:c r="Z13" s="2" t="inlineStr">
        <x:is>
          <x:t xml:space="preserve"/>
        </x:is>
      </x:c>
    </x:row>
    <x:row r="14">
      <x:c r="A14" s="2" t="n"/>
      <x:c r="B14" s="3" t="n"/>
      <x:c r="C14" s="2" t="n"/>
      <x:c r="D14" s="4" t="n"/>
      <x:c r="E14" s="2" t="n"/>
      <x:c r="F14" s="5" t="n"/>
      <x:c r="G14" s="5" t="n"/>
      <x:c r="H14" s="2" t="n"/>
      <x:c r="I14" s="6" t="n"/>
      <x:c r="J14" s="6" t="n"/>
      <x:c r="K14" s="7" t="n"/>
      <x:c r="L14" s="7" t="n"/>
      <x:c r="M14" s="7" t="n"/>
      <x:c r="N14" s="7" t="n"/>
      <x:c r="O14" s="2" t="n"/>
      <x:c r="P14" s="7" t="n"/>
      <x:c r="Q14" s="7" t="n"/>
      <x:c r="R14" s="7" t="n"/>
      <x:c r="S14" s="7" t="n"/>
      <x:c r="T14" s="2" t="n"/>
      <x:c r="U14" s="7" t="n"/>
      <x:c r="V14" s="8">
        <x:f>IF(OR(U14="",O14="",K14=""),"", (U14-K14)*O14)</x:f>
      </x:c>
      <x:c r="W14" s="8">
        <x:f>IF(V14="","", V14-S14)</x:f>
      </x:c>
      <x:c r="X14" s="9">
        <x:f>IF(OR(W14="",N14=0),"", W14/N14)</x:f>
      </x:c>
      <x:c r="Y14" s="10">
        <x:f>IF(OR(W14="",Config!$B$2=0,Config!$B$1=0),"", W14/(Config!$B$1*Config!$B$2))</x:f>
      </x:c>
      <x:c r="Z14" s="2" t="inlineStr">
        <x:is>
          <x:t xml:space="preserve"/>
        </x:is>
      </x:c>
    </x:row>
    <x:row r="15">
      <x:c r="A15" s="2" t="n"/>
      <x:c r="B15" s="3" t="n"/>
      <x:c r="C15" s="2" t="n"/>
      <x:c r="D15" s="4" t="n"/>
      <x:c r="E15" s="2" t="n"/>
      <x:c r="F15" s="5" t="n"/>
      <x:c r="G15" s="5" t="n"/>
      <x:c r="H15" s="2" t="n"/>
      <x:c r="I15" s="6" t="n"/>
      <x:c r="J15" s="6" t="n"/>
      <x:c r="K15" s="7" t="n"/>
      <x:c r="L15" s="7" t="n"/>
      <x:c r="M15" s="7" t="n"/>
      <x:c r="N15" s="7" t="n"/>
      <x:c r="O15" s="2" t="n"/>
      <x:c r="P15" s="7" t="n"/>
      <x:c r="Q15" s="7" t="n"/>
      <x:c r="R15" s="7" t="n"/>
      <x:c r="S15" s="7" t="n"/>
      <x:c r="T15" s="2" t="n"/>
      <x:c r="U15" s="7" t="n"/>
      <x:c r="V15" s="8">
        <x:f>IF(OR(U15="",O15="",K15=""),"", (U15-K15)*O15)</x:f>
      </x:c>
      <x:c r="W15" s="8">
        <x:f>IF(V15="","", V15-S15)</x:f>
      </x:c>
      <x:c r="X15" s="9">
        <x:f>IF(OR(W15="",N15=0),"", W15/N15)</x:f>
      </x:c>
      <x:c r="Y15" s="10">
        <x:f>IF(OR(W15="",Config!$B$2=0,Config!$B$1=0),"", W15/(Config!$B$1*Config!$B$2))</x:f>
      </x:c>
      <x:c r="Z15" s="2" t="inlineStr">
        <x:is>
          <x:t xml:space="preserve"/>
        </x:is>
      </x:c>
    </x:row>
    <x:row r="16">
      <x:c r="A16" s="2" t="n"/>
      <x:c r="B16" s="3" t="n"/>
      <x:c r="C16" s="2" t="n"/>
      <x:c r="D16" s="4" t="n"/>
      <x:c r="E16" s="2" t="n"/>
      <x:c r="F16" s="5" t="n"/>
      <x:c r="G16" s="5" t="n"/>
      <x:c r="H16" s="2" t="n"/>
      <x:c r="I16" s="6" t="n"/>
      <x:c r="J16" s="6" t="n"/>
      <x:c r="K16" s="7" t="n"/>
      <x:c r="L16" s="7" t="n"/>
      <x:c r="M16" s="7" t="n"/>
      <x:c r="N16" s="7" t="n"/>
      <x:c r="O16" s="2" t="n"/>
      <x:c r="P16" s="7" t="n"/>
      <x:c r="Q16" s="7" t="n"/>
      <x:c r="R16" s="7" t="n"/>
      <x:c r="S16" s="7" t="n"/>
      <x:c r="T16" s="2" t="n"/>
      <x:c r="U16" s="7" t="n"/>
      <x:c r="V16" s="8">
        <x:f>IF(OR(U16="",O16="",K16=""),"", (U16-K16)*O16)</x:f>
      </x:c>
      <x:c r="W16" s="8">
        <x:f>IF(V16="","", V16-S16)</x:f>
      </x:c>
      <x:c r="X16" s="9">
        <x:f>IF(OR(W16="",N16=0),"", W16/N16)</x:f>
      </x:c>
      <x:c r="Y16" s="10">
        <x:f>IF(OR(W16="",Config!$B$2=0,Config!$B$1=0),"", W16/(Config!$B$1*Config!$B$2))</x:f>
      </x:c>
      <x:c r="Z16" s="2" t="inlineStr">
        <x:is>
          <x:t xml:space="preserve"/>
        </x:is>
      </x:c>
    </x:row>
    <x:row r="17">
      <x:c r="A17" s="2" t="n"/>
      <x:c r="B17" s="3" t="n"/>
      <x:c r="C17" s="2" t="n"/>
      <x:c r="D17" s="4" t="n"/>
      <x:c r="E17" s="2" t="n"/>
      <x:c r="F17" s="5" t="n"/>
      <x:c r="G17" s="5" t="n"/>
      <x:c r="H17" s="2" t="n"/>
      <x:c r="I17" s="6" t="n"/>
      <x:c r="J17" s="6" t="n"/>
      <x:c r="K17" s="7" t="n"/>
      <x:c r="L17" s="7" t="n"/>
      <x:c r="M17" s="7" t="n"/>
      <x:c r="N17" s="7" t="n"/>
      <x:c r="O17" s="2" t="n"/>
      <x:c r="P17" s="7" t="n"/>
      <x:c r="Q17" s="7" t="n"/>
      <x:c r="R17" s="7" t="n"/>
      <x:c r="S17" s="7" t="n"/>
      <x:c r="T17" s="2" t="n"/>
      <x:c r="U17" s="7" t="n"/>
      <x:c r="V17" s="8">
        <x:f>IF(OR(U17="",O17="",K17=""),"", (U17-K17)*O17)</x:f>
      </x:c>
      <x:c r="W17" s="8">
        <x:f>IF(V17="","", V17-S17)</x:f>
      </x:c>
      <x:c r="X17" s="9">
        <x:f>IF(OR(W17="",N17=0),"", W17/N17)</x:f>
      </x:c>
      <x:c r="Y17" s="10">
        <x:f>IF(OR(W17="",Config!$B$2=0,Config!$B$1=0),"", W17/(Config!$B$1*Config!$B$2))</x:f>
      </x:c>
      <x:c r="Z17" s="2" t="inlineStr">
        <x:is>
          <x:t xml:space="preserve"/>
        </x:is>
      </x:c>
    </x:row>
    <x:row r="18">
      <x:c r="A18" s="2" t="n"/>
      <x:c r="B18" s="3" t="n"/>
      <x:c r="C18" s="2" t="n"/>
      <x:c r="D18" s="4" t="n"/>
      <x:c r="E18" s="2" t="n"/>
      <x:c r="F18" s="5" t="n"/>
      <x:c r="G18" s="5" t="n"/>
      <x:c r="H18" s="2" t="n"/>
      <x:c r="I18" s="6" t="n"/>
      <x:c r="J18" s="6" t="n"/>
      <x:c r="K18" s="7" t="n"/>
      <x:c r="L18" s="7" t="n"/>
      <x:c r="M18" s="7" t="n"/>
      <x:c r="N18" s="7" t="n"/>
      <x:c r="O18" s="2" t="n"/>
      <x:c r="P18" s="7" t="n"/>
      <x:c r="Q18" s="7" t="n"/>
      <x:c r="R18" s="7" t="n"/>
      <x:c r="S18" s="7" t="n"/>
      <x:c r="T18" s="2" t="n"/>
      <x:c r="U18" s="7" t="n"/>
      <x:c r="V18" s="8">
        <x:f>IF(OR(U18="",O18="",K18=""),"", (U18-K18)*O18)</x:f>
      </x:c>
      <x:c r="W18" s="8">
        <x:f>IF(V18="","", V18-S18)</x:f>
      </x:c>
      <x:c r="X18" s="9">
        <x:f>IF(OR(W18="",N18=0),"", W18/N18)</x:f>
      </x:c>
      <x:c r="Y18" s="10">
        <x:f>IF(OR(W18="",Config!$B$2=0,Config!$B$1=0),"", W18/(Config!$B$1*Config!$B$2))</x:f>
      </x:c>
      <x:c r="Z18" s="2" t="inlineStr">
        <x:is>
          <x:t xml:space="preserve"/>
        </x:is>
      </x:c>
    </x:row>
    <x:row r="19">
      <x:c r="A19" s="2" t="n"/>
      <x:c r="B19" s="3" t="n"/>
      <x:c r="C19" s="2" t="n"/>
      <x:c r="D19" s="4" t="n"/>
      <x:c r="E19" s="2" t="n"/>
      <x:c r="F19" s="5" t="n"/>
      <x:c r="G19" s="5" t="n"/>
      <x:c r="H19" s="2" t="n"/>
      <x:c r="I19" s="6" t="n"/>
      <x:c r="J19" s="6" t="n"/>
      <x:c r="K19" s="7" t="n"/>
      <x:c r="L19" s="7" t="n"/>
      <x:c r="M19" s="7" t="n"/>
      <x:c r="N19" s="7" t="n"/>
      <x:c r="O19" s="2" t="n"/>
      <x:c r="P19" s="7" t="n"/>
      <x:c r="Q19" s="7" t="n"/>
      <x:c r="R19" s="7" t="n"/>
      <x:c r="S19" s="7" t="n"/>
      <x:c r="T19" s="2" t="n"/>
      <x:c r="U19" s="7" t="n"/>
      <x:c r="V19" s="8">
        <x:f>IF(OR(U19="",O19="",K19=""),"", (U19-K19)*O19)</x:f>
      </x:c>
      <x:c r="W19" s="8">
        <x:f>IF(V19="","", V19-S19)</x:f>
      </x:c>
      <x:c r="X19" s="9">
        <x:f>IF(OR(W19="",N19=0),"", W19/N19)</x:f>
      </x:c>
      <x:c r="Y19" s="10">
        <x:f>IF(OR(W19="",Config!$B$2=0,Config!$B$1=0),"", W19/(Config!$B$1*Config!$B$2))</x:f>
      </x:c>
      <x:c r="Z19" s="2" t="inlineStr">
        <x:is>
          <x:t xml:space="preserve"/>
        </x:is>
      </x:c>
    </x:row>
    <x:row r="20">
      <x:c r="A20" s="2" t="n"/>
      <x:c r="B20" s="3" t="n"/>
      <x:c r="C20" s="2" t="n"/>
      <x:c r="D20" s="4" t="n"/>
      <x:c r="E20" s="2" t="n"/>
      <x:c r="F20" s="5" t="n"/>
      <x:c r="G20" s="5" t="n"/>
      <x:c r="H20" s="2" t="n"/>
      <x:c r="I20" s="6" t="n"/>
      <x:c r="J20" s="6" t="n"/>
      <x:c r="K20" s="7" t="n"/>
      <x:c r="L20" s="7" t="n"/>
      <x:c r="M20" s="7" t="n"/>
      <x:c r="N20" s="7" t="n"/>
      <x:c r="O20" s="2" t="n"/>
      <x:c r="P20" s="7" t="n"/>
      <x:c r="Q20" s="7" t="n"/>
      <x:c r="R20" s="7" t="n"/>
      <x:c r="S20" s="7" t="n"/>
      <x:c r="T20" s="2" t="n"/>
      <x:c r="U20" s="7" t="n"/>
      <x:c r="V20" s="8">
        <x:f>IF(OR(U20="",O20="",K20=""),"", (U20-K20)*O20)</x:f>
      </x:c>
      <x:c r="W20" s="8">
        <x:f>IF(V20="","", V20-S20)</x:f>
      </x:c>
      <x:c r="X20" s="9">
        <x:f>IF(OR(W20="",N20=0),"", W20/N20)</x:f>
      </x:c>
      <x:c r="Y20" s="10">
        <x:f>IF(OR(W20="",Config!$B$2=0,Config!$B$1=0),"", W20/(Config!$B$1*Config!$B$2))</x:f>
      </x:c>
      <x:c r="Z20" s="2" t="inlineStr">
        <x:is>
          <x:t xml:space="preserve"/>
        </x:is>
      </x:c>
    </x:row>
    <x:row r="21">
      <x:c r="A21" s="2" t="n"/>
      <x:c r="B21" s="3" t="n"/>
      <x:c r="C21" s="2" t="n"/>
      <x:c r="D21" s="4" t="n"/>
      <x:c r="E21" s="2" t="n"/>
      <x:c r="F21" s="5" t="n"/>
      <x:c r="G21" s="5" t="n"/>
      <x:c r="H21" s="2" t="n"/>
      <x:c r="I21" s="6" t="n"/>
      <x:c r="J21" s="6" t="n"/>
      <x:c r="K21" s="7" t="n"/>
      <x:c r="L21" s="7" t="n"/>
      <x:c r="M21" s="7" t="n"/>
      <x:c r="N21" s="7" t="n"/>
      <x:c r="O21" s="2" t="n"/>
      <x:c r="P21" s="7" t="n"/>
      <x:c r="Q21" s="7" t="n"/>
      <x:c r="R21" s="7" t="n"/>
      <x:c r="S21" s="7" t="n"/>
      <x:c r="T21" s="2" t="n"/>
      <x:c r="U21" s="7" t="n"/>
      <x:c r="V21" s="8">
        <x:f>IF(OR(U21="",O21="",K21=""),"", (U21-K21)*O21)</x:f>
      </x:c>
      <x:c r="W21" s="8">
        <x:f>IF(V21="","", V21-S21)</x:f>
      </x:c>
      <x:c r="X21" s="9">
        <x:f>IF(OR(W21="",N21=0),"", W21/N21)</x:f>
      </x:c>
      <x:c r="Y21" s="10">
        <x:f>IF(OR(W21="",Config!$B$2=0,Config!$B$1=0),"", W21/(Config!$B$1*Config!$B$2))</x:f>
      </x:c>
      <x:c r="Z21" s="2" t="inlineStr">
        <x:is>
          <x:t xml:space="preserve"/>
        </x:is>
      </x:c>
    </x:row>
    <x:row r="22">
      <x:c r="A22" s="2" t="n"/>
      <x:c r="B22" s="3" t="n"/>
      <x:c r="C22" s="2" t="n"/>
      <x:c r="D22" s="4" t="n"/>
      <x:c r="E22" s="2" t="n"/>
      <x:c r="F22" s="5" t="n"/>
      <x:c r="G22" s="5" t="n"/>
      <x:c r="H22" s="2" t="n"/>
      <x:c r="I22" s="6" t="n"/>
      <x:c r="J22" s="6" t="n"/>
      <x:c r="K22" s="7" t="n"/>
      <x:c r="L22" s="7" t="n"/>
      <x:c r="M22" s="7" t="n"/>
      <x:c r="N22" s="7" t="n"/>
      <x:c r="O22" s="2" t="n"/>
      <x:c r="P22" s="7" t="n"/>
      <x:c r="Q22" s="7" t="n"/>
      <x:c r="R22" s="7" t="n"/>
      <x:c r="S22" s="7" t="n"/>
      <x:c r="T22" s="2" t="n"/>
      <x:c r="U22" s="7" t="n"/>
      <x:c r="V22" s="8">
        <x:f>IF(OR(U22="",O22="",K22=""),"", (U22-K22)*O22)</x:f>
      </x:c>
      <x:c r="W22" s="8">
        <x:f>IF(V22="","", V22-S22)</x:f>
      </x:c>
      <x:c r="X22" s="9">
        <x:f>IF(OR(W22="",N22=0),"", W22/N22)</x:f>
      </x:c>
      <x:c r="Y22" s="10">
        <x:f>IF(OR(W22="",Config!$B$2=0,Config!$B$1=0),"", W22/(Config!$B$1*Config!$B$2))</x:f>
      </x:c>
      <x:c r="Z22" s="2" t="inlineStr">
        <x:is>
          <x:t xml:space="preserve"/>
        </x:is>
      </x:c>
    </x:row>
    <x:row r="23">
      <x:c r="A23" s="2" t="n"/>
      <x:c r="B23" s="3" t="n"/>
      <x:c r="C23" s="2" t="n"/>
      <x:c r="D23" s="4" t="n"/>
      <x:c r="E23" s="2" t="n"/>
      <x:c r="F23" s="5" t="n"/>
      <x:c r="G23" s="5" t="n"/>
      <x:c r="H23" s="2" t="n"/>
      <x:c r="I23" s="6" t="n"/>
      <x:c r="J23" s="6" t="n"/>
      <x:c r="K23" s="7" t="n"/>
      <x:c r="L23" s="7" t="n"/>
      <x:c r="M23" s="7" t="n"/>
      <x:c r="N23" s="7" t="n"/>
      <x:c r="O23" s="2" t="n"/>
      <x:c r="P23" s="7" t="n"/>
      <x:c r="Q23" s="7" t="n"/>
      <x:c r="R23" s="7" t="n"/>
      <x:c r="S23" s="7" t="n"/>
      <x:c r="T23" s="2" t="n"/>
      <x:c r="U23" s="7" t="n"/>
      <x:c r="V23" s="8">
        <x:f>IF(OR(U23="",O23="",K23=""),"", (U23-K23)*O23)</x:f>
      </x:c>
      <x:c r="W23" s="8">
        <x:f>IF(V23="","", V23-S23)</x:f>
      </x:c>
      <x:c r="X23" s="9">
        <x:f>IF(OR(W23="",N23=0),"", W23/N23)</x:f>
      </x:c>
      <x:c r="Y23" s="10">
        <x:f>IF(OR(W23="",Config!$B$2=0,Config!$B$1=0),"", W23/(Config!$B$1*Config!$B$2))</x:f>
      </x:c>
      <x:c r="Z23" s="2" t="inlineStr">
        <x:is>
          <x:t xml:space="preserve"/>
        </x:is>
      </x:c>
    </x:row>
    <x:row r="24">
      <x:c r="A24" s="2" t="n"/>
      <x:c r="B24" s="3" t="n"/>
      <x:c r="C24" s="2" t="n"/>
      <x:c r="D24" s="4" t="n"/>
      <x:c r="E24" s="2" t="n"/>
      <x:c r="F24" s="5" t="n"/>
      <x:c r="G24" s="5" t="n"/>
      <x:c r="H24" s="2" t="n"/>
      <x:c r="I24" s="6" t="n"/>
      <x:c r="J24" s="6" t="n"/>
      <x:c r="K24" s="7" t="n"/>
      <x:c r="L24" s="7" t="n"/>
      <x:c r="M24" s="7" t="n"/>
      <x:c r="N24" s="7" t="n"/>
      <x:c r="O24" s="2" t="n"/>
      <x:c r="P24" s="7" t="n"/>
      <x:c r="Q24" s="7" t="n"/>
      <x:c r="R24" s="7" t="n"/>
      <x:c r="S24" s="7" t="n"/>
      <x:c r="T24" s="2" t="n"/>
      <x:c r="U24" s="7" t="n"/>
      <x:c r="V24" s="8">
        <x:f>IF(OR(U24="",O24="",K24=""),"", (U24-K24)*O24)</x:f>
      </x:c>
      <x:c r="W24" s="8">
        <x:f>IF(V24="","", V24-S24)</x:f>
      </x:c>
      <x:c r="X24" s="9">
        <x:f>IF(OR(W24="",N24=0),"", W24/N24)</x:f>
      </x:c>
      <x:c r="Y24" s="10">
        <x:f>IF(OR(W24="",Config!$B$2=0,Config!$B$1=0),"", W24/(Config!$B$1*Config!$B$2))</x:f>
      </x:c>
      <x:c r="Z24" s="2" t="inlineStr">
        <x:is>
          <x:t xml:space="preserve"/>
        </x:is>
      </x:c>
    </x:row>
    <x:row r="25">
      <x:c r="A25" s="2" t="n"/>
      <x:c r="B25" s="3" t="n"/>
      <x:c r="C25" s="2" t="n"/>
      <x:c r="D25" s="4" t="n"/>
      <x:c r="E25" s="2" t="n"/>
      <x:c r="F25" s="5" t="n"/>
      <x:c r="G25" s="5" t="n"/>
      <x:c r="H25" s="2" t="n"/>
      <x:c r="I25" s="6" t="n"/>
      <x:c r="J25" s="6" t="n"/>
      <x:c r="K25" s="7" t="n"/>
      <x:c r="L25" s="7" t="n"/>
      <x:c r="M25" s="7" t="n"/>
      <x:c r="N25" s="7" t="n"/>
      <x:c r="O25" s="2" t="n"/>
      <x:c r="P25" s="7" t="n"/>
      <x:c r="Q25" s="7" t="n"/>
      <x:c r="R25" s="7" t="n"/>
      <x:c r="S25" s="7" t="n"/>
      <x:c r="T25" s="2" t="n"/>
      <x:c r="U25" s="7" t="n"/>
      <x:c r="V25" s="8">
        <x:f>IF(OR(U25="",O25="",K25=""),"", (U25-K25)*O25)</x:f>
      </x:c>
      <x:c r="W25" s="8">
        <x:f>IF(V25="","", V25-S25)</x:f>
      </x:c>
      <x:c r="X25" s="9">
        <x:f>IF(OR(W25="",N25=0),"", W25/N25)</x:f>
      </x:c>
      <x:c r="Y25" s="10">
        <x:f>IF(OR(W25="",Config!$B$2=0,Config!$B$1=0),"", W25/(Config!$B$1*Config!$B$2))</x:f>
      </x:c>
      <x:c r="Z25" s="2" t="inlineStr">
        <x:is>
          <x:t xml:space="preserve"/>
        </x:is>
      </x:c>
    </x:row>
    <x:row r="26">
      <x:c r="A26" s="2" t="n"/>
      <x:c r="B26" s="3" t="n"/>
      <x:c r="C26" s="2" t="n"/>
      <x:c r="D26" s="4" t="n"/>
      <x:c r="E26" s="2" t="n"/>
      <x:c r="F26" s="5" t="n"/>
      <x:c r="G26" s="5" t="n"/>
      <x:c r="H26" s="2" t="n"/>
      <x:c r="I26" s="6" t="n"/>
      <x:c r="J26" s="6" t="n"/>
      <x:c r="K26" s="7" t="n"/>
      <x:c r="L26" s="7" t="n"/>
      <x:c r="M26" s="7" t="n"/>
      <x:c r="N26" s="7" t="n"/>
      <x:c r="O26" s="2" t="n"/>
      <x:c r="P26" s="7" t="n"/>
      <x:c r="Q26" s="7" t="n"/>
      <x:c r="R26" s="7" t="n"/>
      <x:c r="S26" s="7" t="n"/>
      <x:c r="T26" s="2" t="n"/>
      <x:c r="U26" s="7" t="n"/>
      <x:c r="V26" s="8">
        <x:f>IF(OR(U26="",O26="",K26=""),"", (U26-K26)*O26)</x:f>
      </x:c>
      <x:c r="W26" s="8">
        <x:f>IF(V26="","", V26-S26)</x:f>
      </x:c>
      <x:c r="X26" s="9">
        <x:f>IF(OR(W26="",N26=0),"", W26/N26)</x:f>
      </x:c>
      <x:c r="Y26" s="10">
        <x:f>IF(OR(W26="",Config!$B$2=0,Config!$B$1=0),"", W26/(Config!$B$1*Config!$B$2))</x:f>
      </x:c>
      <x:c r="Z26" s="2" t="inlineStr">
        <x:is>
          <x:t xml:space="preserve"/>
        </x:is>
      </x:c>
    </x:row>
    <x:row r="27">
      <x:c r="A27" s="2" t="n"/>
      <x:c r="B27" s="3" t="n"/>
      <x:c r="C27" s="2" t="n"/>
      <x:c r="D27" s="4" t="n"/>
      <x:c r="E27" s="2" t="n"/>
      <x:c r="F27" s="5" t="n"/>
      <x:c r="G27" s="5" t="n"/>
      <x:c r="H27" s="2" t="n"/>
      <x:c r="I27" s="6" t="n"/>
      <x:c r="J27" s="6" t="n"/>
      <x:c r="K27" s="7" t="n"/>
      <x:c r="L27" s="7" t="n"/>
      <x:c r="M27" s="7" t="n"/>
      <x:c r="N27" s="7" t="n"/>
      <x:c r="O27" s="2" t="n"/>
      <x:c r="P27" s="7" t="n"/>
      <x:c r="Q27" s="7" t="n"/>
      <x:c r="R27" s="7" t="n"/>
      <x:c r="S27" s="7" t="n"/>
      <x:c r="T27" s="2" t="n"/>
      <x:c r="U27" s="7" t="n"/>
      <x:c r="V27" s="8">
        <x:f>IF(OR(U27="",O27="",K27=""),"", (U27-K27)*O27)</x:f>
      </x:c>
      <x:c r="W27" s="8">
        <x:f>IF(V27="","", V27-S27)</x:f>
      </x:c>
      <x:c r="X27" s="9">
        <x:f>IF(OR(W27="",N27=0),"", W27/N27)</x:f>
      </x:c>
      <x:c r="Y27" s="10">
        <x:f>IF(OR(W27="",Config!$B$2=0,Config!$B$1=0),"", W27/(Config!$B$1*Config!$B$2))</x:f>
      </x:c>
      <x:c r="Z27" s="2" t="inlineStr">
        <x:is>
          <x:t xml:space="preserve"/>
        </x:is>
      </x:c>
    </x:row>
    <x:row r="28">
      <x:c r="A28" s="2" t="n"/>
      <x:c r="B28" s="3" t="n"/>
      <x:c r="C28" s="2" t="n"/>
      <x:c r="D28" s="4" t="n"/>
      <x:c r="E28" s="2" t="n"/>
      <x:c r="F28" s="5" t="n"/>
      <x:c r="G28" s="5" t="n"/>
      <x:c r="H28" s="2" t="n"/>
      <x:c r="I28" s="6" t="n"/>
      <x:c r="J28" s="6" t="n"/>
      <x:c r="K28" s="7" t="n"/>
      <x:c r="L28" s="7" t="n"/>
      <x:c r="M28" s="7" t="n"/>
      <x:c r="N28" s="7" t="n"/>
      <x:c r="O28" s="2" t="n"/>
      <x:c r="P28" s="7" t="n"/>
      <x:c r="Q28" s="7" t="n"/>
      <x:c r="R28" s="7" t="n"/>
      <x:c r="S28" s="7" t="n"/>
      <x:c r="T28" s="2" t="n"/>
      <x:c r="U28" s="7" t="n"/>
      <x:c r="V28" s="8">
        <x:f>IF(OR(U28="",O28="",K28=""),"", (U28-K28)*O28)</x:f>
      </x:c>
      <x:c r="W28" s="8">
        <x:f>IF(V28="","", V28-S28)</x:f>
      </x:c>
      <x:c r="X28" s="9">
        <x:f>IF(OR(W28="",N28=0),"", W28/N28)</x:f>
      </x:c>
      <x:c r="Y28" s="10">
        <x:f>IF(OR(W28="",Config!$B$2=0,Config!$B$1=0),"", W28/(Config!$B$1*Config!$B$2))</x:f>
      </x:c>
      <x:c r="Z28" s="2" t="inlineStr">
        <x:is>
          <x:t xml:space="preserve"/>
        </x:is>
      </x:c>
    </x:row>
    <x:row r="29">
      <x:c r="A29" s="2" t="n"/>
      <x:c r="B29" s="3" t="n"/>
      <x:c r="C29" s="2" t="n"/>
      <x:c r="D29" s="4" t="n"/>
      <x:c r="E29" s="2" t="n"/>
      <x:c r="F29" s="5" t="n"/>
      <x:c r="G29" s="5" t="n"/>
      <x:c r="H29" s="2" t="n"/>
      <x:c r="I29" s="6" t="n"/>
      <x:c r="J29" s="6" t="n"/>
      <x:c r="K29" s="7" t="n"/>
      <x:c r="L29" s="7" t="n"/>
      <x:c r="M29" s="7" t="n"/>
      <x:c r="N29" s="7" t="n"/>
      <x:c r="O29" s="2" t="n"/>
      <x:c r="P29" s="7" t="n"/>
      <x:c r="Q29" s="7" t="n"/>
      <x:c r="R29" s="7" t="n"/>
      <x:c r="S29" s="7" t="n"/>
      <x:c r="T29" s="2" t="n"/>
      <x:c r="U29" s="7" t="n"/>
      <x:c r="V29" s="8">
        <x:f>IF(OR(U29="",O29="",K29=""),"", (U29-K29)*O29)</x:f>
      </x:c>
      <x:c r="W29" s="8">
        <x:f>IF(V29="","", V29-S29)</x:f>
      </x:c>
      <x:c r="X29" s="9">
        <x:f>IF(OR(W29="",N29=0),"", W29/N29)</x:f>
      </x:c>
      <x:c r="Y29" s="10">
        <x:f>IF(OR(W29="",Config!$B$2=0,Config!$B$1=0),"", W29/(Config!$B$1*Config!$B$2))</x:f>
      </x:c>
      <x:c r="Z29" s="2" t="inlineStr">
        <x:is>
          <x:t xml:space="preserve"/>
        </x:is>
      </x:c>
    </x:row>
    <x:row r="30">
      <x:c r="A30" s="2" t="n"/>
      <x:c r="B30" s="3" t="n"/>
      <x:c r="C30" s="2" t="n"/>
      <x:c r="D30" s="4" t="n"/>
      <x:c r="E30" s="2" t="n"/>
      <x:c r="F30" s="5" t="n"/>
      <x:c r="G30" s="5" t="n"/>
      <x:c r="H30" s="2" t="n"/>
      <x:c r="I30" s="6" t="n"/>
      <x:c r="J30" s="6" t="n"/>
      <x:c r="K30" s="7" t="n"/>
      <x:c r="L30" s="7" t="n"/>
      <x:c r="M30" s="7" t="n"/>
      <x:c r="N30" s="7" t="n"/>
      <x:c r="O30" s="2" t="n"/>
      <x:c r="P30" s="7" t="n"/>
      <x:c r="Q30" s="7" t="n"/>
      <x:c r="R30" s="7" t="n"/>
      <x:c r="S30" s="7" t="n"/>
      <x:c r="T30" s="2" t="n"/>
      <x:c r="U30" s="7" t="n"/>
      <x:c r="V30" s="8">
        <x:f>IF(OR(U30="",O30="",K30=""),"", (U30-K30)*O30)</x:f>
      </x:c>
      <x:c r="W30" s="8">
        <x:f>IF(V30="","", V30-S30)</x:f>
      </x:c>
      <x:c r="X30" s="9">
        <x:f>IF(OR(W30="",N30=0),"", W30/N30)</x:f>
      </x:c>
      <x:c r="Y30" s="10">
        <x:f>IF(OR(W30="",Config!$B$2=0,Config!$B$1=0),"", W30/(Config!$B$1*Config!$B$2))</x:f>
      </x:c>
      <x:c r="Z30" s="2" t="inlineStr">
        <x:is>
          <x:t xml:space="preserve"/>
        </x:is>
      </x:c>
    </x:row>
    <x:row r="31">
      <x:c r="A31" s="2" t="n"/>
      <x:c r="B31" s="3" t="n"/>
      <x:c r="C31" s="2" t="n"/>
      <x:c r="D31" s="4" t="n"/>
      <x:c r="E31" s="2" t="n"/>
      <x:c r="F31" s="5" t="n"/>
      <x:c r="G31" s="5" t="n"/>
      <x:c r="H31" s="2" t="n"/>
      <x:c r="I31" s="6" t="n"/>
      <x:c r="J31" s="6" t="n"/>
      <x:c r="K31" s="7" t="n"/>
      <x:c r="L31" s="7" t="n"/>
      <x:c r="M31" s="7" t="n"/>
      <x:c r="N31" s="7" t="n"/>
      <x:c r="O31" s="2" t="n"/>
      <x:c r="P31" s="7" t="n"/>
      <x:c r="Q31" s="7" t="n"/>
      <x:c r="R31" s="7" t="n"/>
      <x:c r="S31" s="7" t="n"/>
      <x:c r="T31" s="2" t="n"/>
      <x:c r="U31" s="7" t="n"/>
      <x:c r="V31" s="8">
        <x:f>IF(OR(U31="",O31="",K31=""),"", (U31-K31)*O31)</x:f>
      </x:c>
      <x:c r="W31" s="8">
        <x:f>IF(V31="","", V31-S31)</x:f>
      </x:c>
      <x:c r="X31" s="9">
        <x:f>IF(OR(W31="",N31=0),"", W31/N31)</x:f>
      </x:c>
      <x:c r="Y31" s="10">
        <x:f>IF(OR(W31="",Config!$B$2=0,Config!$B$1=0),"", W31/(Config!$B$1*Config!$B$2))</x:f>
      </x:c>
      <x:c r="Z31" s="2" t="inlineStr">
        <x:is>
          <x:t xml:space="preserve"/>
        </x:is>
      </x:c>
    </x:row>
    <x:row r="32">
      <x:c r="A32" s="2" t="n"/>
      <x:c r="B32" s="3" t="n"/>
      <x:c r="C32" s="2" t="n"/>
      <x:c r="D32" s="4" t="n"/>
      <x:c r="E32" s="2" t="n"/>
      <x:c r="F32" s="5" t="n"/>
      <x:c r="G32" s="5" t="n"/>
      <x:c r="H32" s="2" t="n"/>
      <x:c r="I32" s="6" t="n"/>
      <x:c r="J32" s="6" t="n"/>
      <x:c r="K32" s="7" t="n"/>
      <x:c r="L32" s="7" t="n"/>
      <x:c r="M32" s="7" t="n"/>
      <x:c r="N32" s="7" t="n"/>
      <x:c r="O32" s="2" t="n"/>
      <x:c r="P32" s="7" t="n"/>
      <x:c r="Q32" s="7" t="n"/>
      <x:c r="R32" s="7" t="n"/>
      <x:c r="S32" s="7" t="n"/>
      <x:c r="T32" s="2" t="n"/>
      <x:c r="U32" s="7" t="n"/>
      <x:c r="V32" s="8">
        <x:f>IF(OR(U32="",O32="",K32=""),"", (U32-K32)*O32)</x:f>
      </x:c>
      <x:c r="W32" s="8">
        <x:f>IF(V32="","", V32-S32)</x:f>
      </x:c>
      <x:c r="X32" s="9">
        <x:f>IF(OR(W32="",N32=0),"", W32/N32)</x:f>
      </x:c>
      <x:c r="Y32" s="10">
        <x:f>IF(OR(W32="",Config!$B$2=0,Config!$B$1=0),"", W32/(Config!$B$1*Config!$B$2))</x:f>
      </x:c>
      <x:c r="Z32" s="2" t="inlineStr">
        <x:is>
          <x:t xml:space="preserve"/>
        </x:is>
      </x:c>
    </x:row>
    <x:row r="33">
      <x:c r="A33" s="2" t="n"/>
      <x:c r="B33" s="3" t="n"/>
      <x:c r="C33" s="2" t="n"/>
      <x:c r="D33" s="4" t="n"/>
      <x:c r="E33" s="2" t="n"/>
      <x:c r="F33" s="5" t="n"/>
      <x:c r="G33" s="5" t="n"/>
      <x:c r="H33" s="2" t="n"/>
      <x:c r="I33" s="6" t="n"/>
      <x:c r="J33" s="6" t="n"/>
      <x:c r="K33" s="7" t="n"/>
      <x:c r="L33" s="7" t="n"/>
      <x:c r="M33" s="7" t="n"/>
      <x:c r="N33" s="7" t="n"/>
      <x:c r="O33" s="2" t="n"/>
      <x:c r="P33" s="7" t="n"/>
      <x:c r="Q33" s="7" t="n"/>
      <x:c r="R33" s="7" t="n"/>
      <x:c r="S33" s="7" t="n"/>
      <x:c r="T33" s="2" t="n"/>
      <x:c r="U33" s="7" t="n"/>
      <x:c r="V33" s="8">
        <x:f>IF(OR(U33="",O33="",K33=""),"", (U33-K33)*O33)</x:f>
      </x:c>
      <x:c r="W33" s="8">
        <x:f>IF(V33="","", V33-S33)</x:f>
      </x:c>
      <x:c r="X33" s="9">
        <x:f>IF(OR(W33="",N33=0),"", W33/N33)</x:f>
      </x:c>
      <x:c r="Y33" s="10">
        <x:f>IF(OR(W33="",Config!$B$2=0,Config!$B$1=0),"", W33/(Config!$B$1*Config!$B$2))</x:f>
      </x:c>
      <x:c r="Z33" s="2" t="inlineStr">
        <x:is>
          <x:t xml:space="preserve"/>
        </x:is>
      </x:c>
    </x:row>
    <x:row r="34">
      <x:c r="A34" s="2" t="n"/>
      <x:c r="B34" s="3" t="n"/>
      <x:c r="C34" s="2" t="n"/>
      <x:c r="D34" s="4" t="n"/>
      <x:c r="E34" s="2" t="n"/>
      <x:c r="F34" s="5" t="n"/>
      <x:c r="G34" s="5" t="n"/>
      <x:c r="H34" s="2" t="n"/>
      <x:c r="I34" s="6" t="n"/>
      <x:c r="J34" s="6" t="n"/>
      <x:c r="K34" s="7" t="n"/>
      <x:c r="L34" s="7" t="n"/>
      <x:c r="M34" s="7" t="n"/>
      <x:c r="N34" s="7" t="n"/>
      <x:c r="O34" s="2" t="n"/>
      <x:c r="P34" s="7" t="n"/>
      <x:c r="Q34" s="7" t="n"/>
      <x:c r="R34" s="7" t="n"/>
      <x:c r="S34" s="7" t="n"/>
      <x:c r="T34" s="2" t="n"/>
      <x:c r="U34" s="7" t="n"/>
      <x:c r="V34" s="8">
        <x:f>IF(OR(U34="",O34="",K34=""),"", (U34-K34)*O34)</x:f>
      </x:c>
      <x:c r="W34" s="8">
        <x:f>IF(V34="","", V34-S34)</x:f>
      </x:c>
      <x:c r="X34" s="9">
        <x:f>IF(OR(W34="",N34=0),"", W34/N34)</x:f>
      </x:c>
      <x:c r="Y34" s="10">
        <x:f>IF(OR(W34="",Config!$B$2=0,Config!$B$1=0),"", W34/(Config!$B$1*Config!$B$2))</x:f>
      </x:c>
      <x:c r="Z34" s="2" t="inlineStr">
        <x:is>
          <x:t xml:space="preserve"/>
        </x:is>
      </x:c>
    </x:row>
    <x:row r="35">
      <x:c r="A35" s="2" t="n"/>
      <x:c r="B35" s="3" t="n"/>
      <x:c r="C35" s="2" t="n"/>
      <x:c r="D35" s="4" t="n"/>
      <x:c r="E35" s="2" t="n"/>
      <x:c r="F35" s="5" t="n"/>
      <x:c r="G35" s="5" t="n"/>
      <x:c r="H35" s="2" t="n"/>
      <x:c r="I35" s="6" t="n"/>
      <x:c r="J35" s="6" t="n"/>
      <x:c r="K35" s="7" t="n"/>
      <x:c r="L35" s="7" t="n"/>
      <x:c r="M35" s="7" t="n"/>
      <x:c r="N35" s="7" t="n"/>
      <x:c r="O35" s="2" t="n"/>
      <x:c r="P35" s="7" t="n"/>
      <x:c r="Q35" s="7" t="n"/>
      <x:c r="R35" s="7" t="n"/>
      <x:c r="S35" s="7" t="n"/>
      <x:c r="T35" s="2" t="n"/>
      <x:c r="U35" s="7" t="n"/>
      <x:c r="V35" s="8">
        <x:f>IF(OR(U35="",O35="",K35=""),"", (U35-K35)*O35)</x:f>
      </x:c>
      <x:c r="W35" s="8">
        <x:f>IF(V35="","", V35-S35)</x:f>
      </x:c>
      <x:c r="X35" s="9">
        <x:f>IF(OR(W35="",N35=0),"", W35/N35)</x:f>
      </x:c>
      <x:c r="Y35" s="10">
        <x:f>IF(OR(W35="",Config!$B$2=0,Config!$B$1=0),"", W35/(Config!$B$1*Config!$B$2))</x:f>
      </x:c>
      <x:c r="Z35" s="2" t="inlineStr">
        <x:is>
          <x:t xml:space="preserve"/>
        </x:is>
      </x:c>
    </x:row>
    <x:row r="36">
      <x:c r="A36" s="2" t="n"/>
      <x:c r="B36" s="3" t="n"/>
      <x:c r="C36" s="2" t="n"/>
      <x:c r="D36" s="4" t="n"/>
      <x:c r="E36" s="2" t="n"/>
      <x:c r="F36" s="5" t="n"/>
      <x:c r="G36" s="5" t="n"/>
      <x:c r="H36" s="2" t="n"/>
      <x:c r="I36" s="6" t="n"/>
      <x:c r="J36" s="6" t="n"/>
      <x:c r="K36" s="7" t="n"/>
      <x:c r="L36" s="7" t="n"/>
      <x:c r="M36" s="7" t="n"/>
      <x:c r="N36" s="7" t="n"/>
      <x:c r="O36" s="2" t="n"/>
      <x:c r="P36" s="7" t="n"/>
      <x:c r="Q36" s="7" t="n"/>
      <x:c r="R36" s="7" t="n"/>
      <x:c r="S36" s="7" t="n"/>
      <x:c r="T36" s="2" t="n"/>
      <x:c r="U36" s="7" t="n"/>
      <x:c r="V36" s="8">
        <x:f>IF(OR(U36="",O36="",K36=""),"", (U36-K36)*O36)</x:f>
      </x:c>
      <x:c r="W36" s="8">
        <x:f>IF(V36="","", V36-S36)</x:f>
      </x:c>
      <x:c r="X36" s="9">
        <x:f>IF(OR(W36="",N36=0),"", W36/N36)</x:f>
      </x:c>
      <x:c r="Y36" s="10">
        <x:f>IF(OR(W36="",Config!$B$2=0,Config!$B$1=0),"", W36/(Config!$B$1*Config!$B$2))</x:f>
      </x:c>
      <x:c r="Z36" s="2" t="inlineStr">
        <x:is>
          <x:t xml:space="preserve"/>
        </x:is>
      </x:c>
    </x:row>
    <x:row r="37">
      <x:c r="A37" s="2" t="n"/>
      <x:c r="B37" s="3" t="n"/>
      <x:c r="C37" s="2" t="n"/>
      <x:c r="D37" s="4" t="n"/>
      <x:c r="E37" s="2" t="n"/>
      <x:c r="F37" s="5" t="n"/>
      <x:c r="G37" s="5" t="n"/>
      <x:c r="H37" s="2" t="n"/>
      <x:c r="I37" s="6" t="n"/>
      <x:c r="J37" s="6" t="n"/>
      <x:c r="K37" s="7" t="n"/>
      <x:c r="L37" s="7" t="n"/>
      <x:c r="M37" s="7" t="n"/>
      <x:c r="N37" s="7" t="n"/>
      <x:c r="O37" s="2" t="n"/>
      <x:c r="P37" s="7" t="n"/>
      <x:c r="Q37" s="7" t="n"/>
      <x:c r="R37" s="7" t="n"/>
      <x:c r="S37" s="7" t="n"/>
      <x:c r="T37" s="2" t="n"/>
      <x:c r="U37" s="7" t="n"/>
      <x:c r="V37" s="8">
        <x:f>IF(OR(U37="",O37="",K37=""),"", (U37-K37)*O37)</x:f>
      </x:c>
      <x:c r="W37" s="8">
        <x:f>IF(V37="","", V37-S37)</x:f>
      </x:c>
      <x:c r="X37" s="9">
        <x:f>IF(OR(W37="",N37=0),"", W37/N37)</x:f>
      </x:c>
      <x:c r="Y37" s="10">
        <x:f>IF(OR(W37="",Config!$B$2=0,Config!$B$1=0),"", W37/(Config!$B$1*Config!$B$2))</x:f>
      </x:c>
      <x:c r="Z37" s="2" t="inlineStr">
        <x:is>
          <x:t xml:space="preserve"/>
        </x:is>
      </x:c>
    </x:row>
    <x:row r="38">
      <x:c r="A38" s="2" t="n"/>
      <x:c r="B38" s="3" t="n"/>
      <x:c r="C38" s="2" t="n"/>
      <x:c r="D38" s="4" t="n"/>
      <x:c r="E38" s="2" t="n"/>
      <x:c r="F38" s="5" t="n"/>
      <x:c r="G38" s="5" t="n"/>
      <x:c r="H38" s="2" t="n"/>
      <x:c r="I38" s="6" t="n"/>
      <x:c r="J38" s="6" t="n"/>
      <x:c r="K38" s="7" t="n"/>
      <x:c r="L38" s="7" t="n"/>
      <x:c r="M38" s="7" t="n"/>
      <x:c r="N38" s="7" t="n"/>
      <x:c r="O38" s="2" t="n"/>
      <x:c r="P38" s="7" t="n"/>
      <x:c r="Q38" s="7" t="n"/>
      <x:c r="R38" s="7" t="n"/>
      <x:c r="S38" s="7" t="n"/>
      <x:c r="T38" s="2" t="n"/>
      <x:c r="U38" s="7" t="n"/>
      <x:c r="V38" s="8">
        <x:f>IF(OR(U38="",O38="",K38=""),"", (U38-K38)*O38)</x:f>
      </x:c>
      <x:c r="W38" s="8">
        <x:f>IF(V38="","", V38-S38)</x:f>
      </x:c>
      <x:c r="X38" s="9">
        <x:f>IF(OR(W38="",N38=0),"", W38/N38)</x:f>
      </x:c>
      <x:c r="Y38" s="10">
        <x:f>IF(OR(W38="",Config!$B$2=0,Config!$B$1=0),"", W38/(Config!$B$1*Config!$B$2))</x:f>
      </x:c>
      <x:c r="Z38" s="2" t="inlineStr">
        <x:is>
          <x:t xml:space="preserve"/>
        </x:is>
      </x:c>
    </x:row>
    <x:row r="39">
      <x:c r="A39" s="2" t="n"/>
      <x:c r="B39" s="3" t="n"/>
      <x:c r="C39" s="2" t="n"/>
      <x:c r="D39" s="4" t="n"/>
      <x:c r="E39" s="2" t="n"/>
      <x:c r="F39" s="5" t="n"/>
      <x:c r="G39" s="5" t="n"/>
      <x:c r="H39" s="2" t="n"/>
      <x:c r="I39" s="6" t="n"/>
      <x:c r="J39" s="6" t="n"/>
      <x:c r="K39" s="7" t="n"/>
      <x:c r="L39" s="7" t="n"/>
      <x:c r="M39" s="7" t="n"/>
      <x:c r="N39" s="7" t="n"/>
      <x:c r="O39" s="2" t="n"/>
      <x:c r="P39" s="7" t="n"/>
      <x:c r="Q39" s="7" t="n"/>
      <x:c r="R39" s="7" t="n"/>
      <x:c r="S39" s="7" t="n"/>
      <x:c r="T39" s="2" t="n"/>
      <x:c r="U39" s="7" t="n"/>
      <x:c r="V39" s="8">
        <x:f>IF(OR(U39="",O39="",K39=""),"", (U39-K39)*O39)</x:f>
      </x:c>
      <x:c r="W39" s="8">
        <x:f>IF(V39="","", V39-S39)</x:f>
      </x:c>
      <x:c r="X39" s="9">
        <x:f>IF(OR(W39="",N39=0),"", W39/N39)</x:f>
      </x:c>
      <x:c r="Y39" s="10">
        <x:f>IF(OR(W39="",Config!$B$2=0,Config!$B$1=0),"", W39/(Config!$B$1*Config!$B$2))</x:f>
      </x:c>
      <x:c r="Z39" s="2" t="inlineStr">
        <x:is>
          <x:t xml:space="preserve"/>
        </x:is>
      </x:c>
    </x:row>
    <x:row r="40">
      <x:c r="A40" s="2" t="n"/>
      <x:c r="B40" s="3" t="n"/>
      <x:c r="C40" s="2" t="n"/>
      <x:c r="D40" s="4" t="n"/>
      <x:c r="E40" s="2" t="n"/>
      <x:c r="F40" s="5" t="n"/>
      <x:c r="G40" s="5" t="n"/>
      <x:c r="H40" s="2" t="n"/>
      <x:c r="I40" s="6" t="n"/>
      <x:c r="J40" s="6" t="n"/>
      <x:c r="K40" s="7" t="n"/>
      <x:c r="L40" s="7" t="n"/>
      <x:c r="M40" s="7" t="n"/>
      <x:c r="N40" s="7" t="n"/>
      <x:c r="O40" s="2" t="n"/>
      <x:c r="P40" s="7" t="n"/>
      <x:c r="Q40" s="7" t="n"/>
      <x:c r="R40" s="7" t="n"/>
      <x:c r="S40" s="7" t="n"/>
      <x:c r="T40" s="2" t="n"/>
      <x:c r="U40" s="7" t="n"/>
      <x:c r="V40" s="8">
        <x:f>IF(OR(U40="",O40="",K40=""),"", (U40-K40)*O40)</x:f>
      </x:c>
      <x:c r="W40" s="8">
        <x:f>IF(V40="","", V40-S40)</x:f>
      </x:c>
      <x:c r="X40" s="9">
        <x:f>IF(OR(W40="",N40=0),"", W40/N40)</x:f>
      </x:c>
      <x:c r="Y40" s="10">
        <x:f>IF(OR(W40="",Config!$B$2=0,Config!$B$1=0),"", W40/(Config!$B$1*Config!$B$2))</x:f>
      </x:c>
      <x:c r="Z40" s="2" t="inlineStr">
        <x:is>
          <x:t xml:space="preserve"/>
        </x:is>
      </x:c>
    </x:row>
    <x:row r="41">
      <x:c r="A41" s="2" t="n"/>
      <x:c r="B41" s="3" t="n"/>
      <x:c r="C41" s="2" t="n"/>
      <x:c r="D41" s="4" t="n"/>
      <x:c r="E41" s="2" t="n"/>
      <x:c r="F41" s="5" t="n"/>
      <x:c r="G41" s="5" t="n"/>
      <x:c r="H41" s="2" t="n"/>
      <x:c r="I41" s="6" t="n"/>
      <x:c r="J41" s="6" t="n"/>
      <x:c r="K41" s="7" t="n"/>
      <x:c r="L41" s="7" t="n"/>
      <x:c r="M41" s="7" t="n"/>
      <x:c r="N41" s="7" t="n"/>
      <x:c r="O41" s="2" t="n"/>
      <x:c r="P41" s="7" t="n"/>
      <x:c r="Q41" s="7" t="n"/>
      <x:c r="R41" s="7" t="n"/>
      <x:c r="S41" s="7" t="n"/>
      <x:c r="T41" s="2" t="n"/>
      <x:c r="U41" s="7" t="n"/>
      <x:c r="V41" s="8">
        <x:f>IF(OR(U41="",O41="",K41=""),"", (U41-K41)*O41)</x:f>
      </x:c>
      <x:c r="W41" s="8">
        <x:f>IF(V41="","", V41-S41)</x:f>
      </x:c>
      <x:c r="X41" s="9">
        <x:f>IF(OR(W41="",N41=0),"", W41/N41)</x:f>
      </x:c>
      <x:c r="Y41" s="10">
        <x:f>IF(OR(W41="",Config!$B$2=0,Config!$B$1=0),"", W41/(Config!$B$1*Config!$B$2))</x:f>
      </x:c>
      <x:c r="Z41" s="2" t="inlineStr">
        <x:is>
          <x:t xml:space="preserve"/>
        </x:is>
      </x:c>
    </x:row>
    <x:row r="42">
      <x:c r="A42" s="2" t="n"/>
      <x:c r="B42" s="3" t="n"/>
      <x:c r="C42" s="2" t="n"/>
      <x:c r="D42" s="4" t="n"/>
      <x:c r="E42" s="2" t="n"/>
      <x:c r="F42" s="5" t="n"/>
      <x:c r="G42" s="5" t="n"/>
      <x:c r="H42" s="2" t="n"/>
      <x:c r="I42" s="6" t="n"/>
      <x:c r="J42" s="6" t="n"/>
      <x:c r="K42" s="7" t="n"/>
      <x:c r="L42" s="7" t="n"/>
      <x:c r="M42" s="7" t="n"/>
      <x:c r="N42" s="7" t="n"/>
      <x:c r="O42" s="2" t="n"/>
      <x:c r="P42" s="7" t="n"/>
      <x:c r="Q42" s="7" t="n"/>
      <x:c r="R42" s="7" t="n"/>
      <x:c r="S42" s="7" t="n"/>
      <x:c r="T42" s="2" t="n"/>
      <x:c r="U42" s="7" t="n"/>
      <x:c r="V42" s="8">
        <x:f>IF(OR(U42="",O42="",K42=""),"", (U42-K42)*O42)</x:f>
      </x:c>
      <x:c r="W42" s="8">
        <x:f>IF(V42="","", V42-S42)</x:f>
      </x:c>
      <x:c r="X42" s="9">
        <x:f>IF(OR(W42="",N42=0),"", W42/N42)</x:f>
      </x:c>
      <x:c r="Y42" s="10">
        <x:f>IF(OR(W42="",Config!$B$2=0,Config!$B$1=0),"", W42/(Config!$B$1*Config!$B$2))</x:f>
      </x:c>
      <x:c r="Z42" s="2" t="inlineStr">
        <x:is>
          <x:t xml:space="preserve"/>
        </x:is>
      </x:c>
    </x:row>
    <x:row r="43">
      <x:c r="A43" s="2" t="n"/>
      <x:c r="B43" s="3" t="n"/>
      <x:c r="C43" s="2" t="n"/>
      <x:c r="D43" s="4" t="n"/>
      <x:c r="E43" s="2" t="n"/>
      <x:c r="F43" s="5" t="n"/>
      <x:c r="G43" s="5" t="n"/>
      <x:c r="H43" s="2" t="n"/>
      <x:c r="I43" s="6" t="n"/>
      <x:c r="J43" s="6" t="n"/>
      <x:c r="K43" s="7" t="n"/>
      <x:c r="L43" s="7" t="n"/>
      <x:c r="M43" s="7" t="n"/>
      <x:c r="N43" s="7" t="n"/>
      <x:c r="O43" s="2" t="n"/>
      <x:c r="P43" s="7" t="n"/>
      <x:c r="Q43" s="7" t="n"/>
      <x:c r="R43" s="7" t="n"/>
      <x:c r="S43" s="7" t="n"/>
      <x:c r="T43" s="2" t="n"/>
      <x:c r="U43" s="7" t="n"/>
      <x:c r="V43" s="8">
        <x:f>IF(OR(U43="",O43="",K43=""),"", (U43-K43)*O43)</x:f>
      </x:c>
      <x:c r="W43" s="8">
        <x:f>IF(V43="","", V43-S43)</x:f>
      </x:c>
      <x:c r="X43" s="9">
        <x:f>IF(OR(W43="",N43=0),"", W43/N43)</x:f>
      </x:c>
      <x:c r="Y43" s="10">
        <x:f>IF(OR(W43="",Config!$B$2=0,Config!$B$1=0),"", W43/(Config!$B$1*Config!$B$2))</x:f>
      </x:c>
      <x:c r="Z43" s="2" t="inlineStr">
        <x:is>
          <x:t xml:space="preserve"/>
        </x:is>
      </x:c>
    </x:row>
    <x:row r="44">
      <x:c r="A44" s="2" t="n"/>
      <x:c r="B44" s="3" t="n"/>
      <x:c r="C44" s="2" t="n"/>
      <x:c r="D44" s="4" t="n"/>
      <x:c r="E44" s="2" t="n"/>
      <x:c r="F44" s="5" t="n"/>
      <x:c r="G44" s="5" t="n"/>
      <x:c r="H44" s="2" t="n"/>
      <x:c r="I44" s="6" t="n"/>
      <x:c r="J44" s="6" t="n"/>
      <x:c r="K44" s="7" t="n"/>
      <x:c r="L44" s="7" t="n"/>
      <x:c r="M44" s="7" t="n"/>
      <x:c r="N44" s="7" t="n"/>
      <x:c r="O44" s="2" t="n"/>
      <x:c r="P44" s="7" t="n"/>
      <x:c r="Q44" s="7" t="n"/>
      <x:c r="R44" s="7" t="n"/>
      <x:c r="S44" s="7" t="n"/>
      <x:c r="T44" s="2" t="n"/>
      <x:c r="U44" s="7" t="n"/>
      <x:c r="V44" s="8">
        <x:f>IF(OR(U44="",O44="",K44=""),"", (U44-K44)*O44)</x:f>
      </x:c>
      <x:c r="W44" s="8">
        <x:f>IF(V44="","", V44-S44)</x:f>
      </x:c>
      <x:c r="X44" s="9">
        <x:f>IF(OR(W44="",N44=0),"", W44/N44)</x:f>
      </x:c>
      <x:c r="Y44" s="10">
        <x:f>IF(OR(W44="",Config!$B$2=0,Config!$B$1=0),"", W44/(Config!$B$1*Config!$B$2))</x:f>
      </x:c>
      <x:c r="Z44" s="2" t="inlineStr">
        <x:is>
          <x:t xml:space="preserve"/>
        </x:is>
      </x:c>
    </x:row>
    <x:row r="45">
      <x:c r="A45" s="2" t="n"/>
      <x:c r="B45" s="3" t="n"/>
      <x:c r="C45" s="2" t="n"/>
      <x:c r="D45" s="4" t="n"/>
      <x:c r="E45" s="2" t="n"/>
      <x:c r="F45" s="5" t="n"/>
      <x:c r="G45" s="5" t="n"/>
      <x:c r="H45" s="2" t="n"/>
      <x:c r="I45" s="6" t="n"/>
      <x:c r="J45" s="6" t="n"/>
      <x:c r="K45" s="7" t="n"/>
      <x:c r="L45" s="7" t="n"/>
      <x:c r="M45" s="7" t="n"/>
      <x:c r="N45" s="7" t="n"/>
      <x:c r="O45" s="2" t="n"/>
      <x:c r="P45" s="7" t="n"/>
      <x:c r="Q45" s="7" t="n"/>
      <x:c r="R45" s="7" t="n"/>
      <x:c r="S45" s="7" t="n"/>
      <x:c r="T45" s="2" t="n"/>
      <x:c r="U45" s="7" t="n"/>
      <x:c r="V45" s="8">
        <x:f>IF(OR(U45="",O45="",K45=""),"", (U45-K45)*O45)</x:f>
      </x:c>
      <x:c r="W45" s="8">
        <x:f>IF(V45="","", V45-S45)</x:f>
      </x:c>
      <x:c r="X45" s="9">
        <x:f>IF(OR(W45="",N45=0),"", W45/N45)</x:f>
      </x:c>
      <x:c r="Y45" s="10">
        <x:f>IF(OR(W45="",Config!$B$2=0,Config!$B$1=0),"", W45/(Config!$B$1*Config!$B$2))</x:f>
      </x:c>
      <x:c r="Z45" s="2" t="inlineStr">
        <x:is>
          <x:t xml:space="preserve"/>
        </x:is>
      </x:c>
    </x:row>
    <x:row r="46">
      <x:c r="A46" s="2" t="n"/>
      <x:c r="B46" s="3" t="n"/>
      <x:c r="C46" s="2" t="n"/>
      <x:c r="D46" s="4" t="n"/>
      <x:c r="E46" s="2" t="n"/>
      <x:c r="F46" s="5" t="n"/>
      <x:c r="G46" s="5" t="n"/>
      <x:c r="H46" s="2" t="n"/>
      <x:c r="I46" s="6" t="n"/>
      <x:c r="J46" s="6" t="n"/>
      <x:c r="K46" s="7" t="n"/>
      <x:c r="L46" s="7" t="n"/>
      <x:c r="M46" s="7" t="n"/>
      <x:c r="N46" s="7" t="n"/>
      <x:c r="O46" s="2" t="n"/>
      <x:c r="P46" s="7" t="n"/>
      <x:c r="Q46" s="7" t="n"/>
      <x:c r="R46" s="7" t="n"/>
      <x:c r="S46" s="7" t="n"/>
      <x:c r="T46" s="2" t="n"/>
      <x:c r="U46" s="7" t="n"/>
      <x:c r="V46" s="8">
        <x:f>IF(OR(U46="",O46="",K46=""),"", (U46-K46)*O46)</x:f>
      </x:c>
      <x:c r="W46" s="8">
        <x:f>IF(V46="","", V46-S46)</x:f>
      </x:c>
      <x:c r="X46" s="9">
        <x:f>IF(OR(W46="",N46=0),"", W46/N46)</x:f>
      </x:c>
      <x:c r="Y46" s="10">
        <x:f>IF(OR(W46="",Config!$B$2=0,Config!$B$1=0),"", W46/(Config!$B$1*Config!$B$2))</x:f>
      </x:c>
      <x:c r="Z46" s="2" t="inlineStr">
        <x:is>
          <x:t xml:space="preserve"/>
        </x:is>
      </x:c>
    </x:row>
    <x:row r="47">
      <x:c r="A47" s="2" t="n"/>
      <x:c r="B47" s="3" t="n"/>
      <x:c r="C47" s="2" t="n"/>
      <x:c r="D47" s="4" t="n"/>
      <x:c r="E47" s="2" t="n"/>
      <x:c r="F47" s="5" t="n"/>
      <x:c r="G47" s="5" t="n"/>
      <x:c r="H47" s="2" t="n"/>
      <x:c r="I47" s="6" t="n"/>
      <x:c r="J47" s="6" t="n"/>
      <x:c r="K47" s="7" t="n"/>
      <x:c r="L47" s="7" t="n"/>
      <x:c r="M47" s="7" t="n"/>
      <x:c r="N47" s="7" t="n"/>
      <x:c r="O47" s="2" t="n"/>
      <x:c r="P47" s="7" t="n"/>
      <x:c r="Q47" s="7" t="n"/>
      <x:c r="R47" s="7" t="n"/>
      <x:c r="S47" s="7" t="n"/>
      <x:c r="T47" s="2" t="n"/>
      <x:c r="U47" s="7" t="n"/>
      <x:c r="V47" s="8">
        <x:f>IF(OR(U47="",O47="",K47=""),"", (U47-K47)*O47)</x:f>
      </x:c>
      <x:c r="W47" s="8">
        <x:f>IF(V47="","", V47-S47)</x:f>
      </x:c>
      <x:c r="X47" s="9">
        <x:f>IF(OR(W47="",N47=0),"", W47/N47)</x:f>
      </x:c>
      <x:c r="Y47" s="10">
        <x:f>IF(OR(W47="",Config!$B$2=0,Config!$B$1=0),"", W47/(Config!$B$1*Config!$B$2))</x:f>
      </x:c>
      <x:c r="Z47" s="2" t="inlineStr">
        <x:is>
          <x:t xml:space="preserve"/>
        </x:is>
      </x:c>
    </x:row>
    <x:row r="48">
      <x:c r="A48" s="2" t="n"/>
      <x:c r="B48" s="3" t="n"/>
      <x:c r="C48" s="2" t="n"/>
      <x:c r="D48" s="4" t="n"/>
      <x:c r="E48" s="2" t="n"/>
      <x:c r="F48" s="5" t="n"/>
      <x:c r="G48" s="5" t="n"/>
      <x:c r="H48" s="2" t="n"/>
      <x:c r="I48" s="6" t="n"/>
      <x:c r="J48" s="6" t="n"/>
      <x:c r="K48" s="7" t="n"/>
      <x:c r="L48" s="7" t="n"/>
      <x:c r="M48" s="7" t="n"/>
      <x:c r="N48" s="7" t="n"/>
      <x:c r="O48" s="2" t="n"/>
      <x:c r="P48" s="7" t="n"/>
      <x:c r="Q48" s="7" t="n"/>
      <x:c r="R48" s="7" t="n"/>
      <x:c r="S48" s="7" t="n"/>
      <x:c r="T48" s="2" t="n"/>
      <x:c r="U48" s="7" t="n"/>
      <x:c r="V48" s="8">
        <x:f>IF(OR(U48="",O48="",K48=""),"", (U48-K48)*O48)</x:f>
      </x:c>
      <x:c r="W48" s="8">
        <x:f>IF(V48="","", V48-S48)</x:f>
      </x:c>
      <x:c r="X48" s="9">
        <x:f>IF(OR(W48="",N48=0),"", W48/N48)</x:f>
      </x:c>
      <x:c r="Y48" s="10">
        <x:f>IF(OR(W48="",Config!$B$2=0,Config!$B$1=0),"", W48/(Config!$B$1*Config!$B$2))</x:f>
      </x:c>
      <x:c r="Z48" s="2" t="inlineStr">
        <x:is>
          <x:t xml:space="preserve"/>
        </x:is>
      </x:c>
    </x:row>
    <x:row r="49">
      <x:c r="A49" s="2" t="n"/>
      <x:c r="B49" s="3" t="n"/>
      <x:c r="C49" s="2" t="n"/>
      <x:c r="D49" s="4" t="n"/>
      <x:c r="E49" s="2" t="n"/>
      <x:c r="F49" s="5" t="n"/>
      <x:c r="G49" s="5" t="n"/>
      <x:c r="H49" s="2" t="n"/>
      <x:c r="I49" s="6" t="n"/>
      <x:c r="J49" s="6" t="n"/>
      <x:c r="K49" s="7" t="n"/>
      <x:c r="L49" s="7" t="n"/>
      <x:c r="M49" s="7" t="n"/>
      <x:c r="N49" s="7" t="n"/>
      <x:c r="O49" s="2" t="n"/>
      <x:c r="P49" s="7" t="n"/>
      <x:c r="Q49" s="7" t="n"/>
      <x:c r="R49" s="7" t="n"/>
      <x:c r="S49" s="7" t="n"/>
      <x:c r="T49" s="2" t="n"/>
      <x:c r="U49" s="7" t="n"/>
      <x:c r="V49" s="8">
        <x:f>IF(OR(U49="",O49="",K49=""),"", (U49-K49)*O49)</x:f>
      </x:c>
      <x:c r="W49" s="8">
        <x:f>IF(V49="","", V49-S49)</x:f>
      </x:c>
      <x:c r="X49" s="9">
        <x:f>IF(OR(W49="",N49=0),"", W49/N49)</x:f>
      </x:c>
      <x:c r="Y49" s="10">
        <x:f>IF(OR(W49="",Config!$B$2=0,Config!$B$1=0),"", W49/(Config!$B$1*Config!$B$2))</x:f>
      </x:c>
      <x:c r="Z49" s="2" t="inlineStr">
        <x:is>
          <x:t xml:space="preserve"/>
        </x:is>
      </x:c>
    </x:row>
    <x:row r="50">
      <x:c r="A50" s="2" t="n"/>
      <x:c r="B50" s="3" t="n"/>
      <x:c r="C50" s="2" t="n"/>
      <x:c r="D50" s="4" t="n"/>
      <x:c r="E50" s="2" t="n"/>
      <x:c r="F50" s="5" t="n"/>
      <x:c r="G50" s="5" t="n"/>
      <x:c r="H50" s="2" t="n"/>
      <x:c r="I50" s="6" t="n"/>
      <x:c r="J50" s="6" t="n"/>
      <x:c r="K50" s="7" t="n"/>
      <x:c r="L50" s="7" t="n"/>
      <x:c r="M50" s="7" t="n"/>
      <x:c r="N50" s="7" t="n"/>
      <x:c r="O50" s="2" t="n"/>
      <x:c r="P50" s="7" t="n"/>
      <x:c r="Q50" s="7" t="n"/>
      <x:c r="R50" s="7" t="n"/>
      <x:c r="S50" s="7" t="n"/>
      <x:c r="T50" s="2" t="n"/>
      <x:c r="U50" s="7" t="n"/>
      <x:c r="V50" s="8">
        <x:f>IF(OR(U50="",O50="",K50=""),"", (U50-K50)*O50)</x:f>
      </x:c>
      <x:c r="W50" s="8">
        <x:f>IF(V50="","", V50-S50)</x:f>
      </x:c>
      <x:c r="X50" s="9">
        <x:f>IF(OR(W50="",N50=0),"", W50/N50)</x:f>
      </x:c>
      <x:c r="Y50" s="10">
        <x:f>IF(OR(W50="",Config!$B$2=0,Config!$B$1=0),"", W50/(Config!$B$1*Config!$B$2))</x:f>
      </x:c>
      <x:c r="Z50" s="2" t="inlineStr">
        <x:is>
          <x:t xml:space="preserve"/>
        </x:is>
      </x:c>
    </x:row>
    <x:row r="51">
      <x:c r="A51" s="2" t="n"/>
      <x:c r="B51" s="3" t="n"/>
      <x:c r="C51" s="2" t="n"/>
      <x:c r="D51" s="4" t="n"/>
      <x:c r="E51" s="2" t="n"/>
      <x:c r="F51" s="5" t="n"/>
      <x:c r="G51" s="5" t="n"/>
      <x:c r="H51" s="2" t="n"/>
      <x:c r="I51" s="6" t="n"/>
      <x:c r="J51" s="6" t="n"/>
      <x:c r="K51" s="7" t="n"/>
      <x:c r="L51" s="7" t="n"/>
      <x:c r="M51" s="7" t="n"/>
      <x:c r="N51" s="7" t="n"/>
      <x:c r="O51" s="2" t="n"/>
      <x:c r="P51" s="7" t="n"/>
      <x:c r="Q51" s="7" t="n"/>
      <x:c r="R51" s="7" t="n"/>
      <x:c r="S51" s="7" t="n"/>
      <x:c r="T51" s="2" t="n"/>
      <x:c r="U51" s="7" t="n"/>
      <x:c r="V51" s="8">
        <x:f>IF(OR(U51="",O51="",K51=""),"", (U51-K51)*O51)</x:f>
      </x:c>
      <x:c r="W51" s="8">
        <x:f>IF(V51="","", V51-S51)</x:f>
      </x:c>
      <x:c r="X51" s="9">
        <x:f>IF(OR(W51="",N51=0),"", W51/N51)</x:f>
      </x:c>
      <x:c r="Y51" s="10">
        <x:f>IF(OR(W51="",Config!$B$2=0,Config!$B$1=0),"", W51/(Config!$B$1*Config!$B$2))</x:f>
      </x:c>
      <x:c r="Z51" s="2" t="inlineStr">
        <x:is>
          <x:t xml:space="preserve"/>
        </x:is>
      </x:c>
    </x:row>
    <x:row r="52">
      <x:c r="A52" s="2" t="n"/>
      <x:c r="B52" s="3" t="n"/>
      <x:c r="C52" s="2" t="n"/>
      <x:c r="D52" s="4" t="n"/>
      <x:c r="E52" s="2" t="n"/>
      <x:c r="F52" s="5" t="n"/>
      <x:c r="G52" s="5" t="n"/>
      <x:c r="H52" s="2" t="n"/>
      <x:c r="I52" s="6" t="n"/>
      <x:c r="J52" s="6" t="n"/>
      <x:c r="K52" s="7" t="n"/>
      <x:c r="L52" s="7" t="n"/>
      <x:c r="M52" s="7" t="n"/>
      <x:c r="N52" s="7" t="n"/>
      <x:c r="O52" s="2" t="n"/>
      <x:c r="P52" s="7" t="n"/>
      <x:c r="Q52" s="7" t="n"/>
      <x:c r="R52" s="7" t="n"/>
      <x:c r="S52" s="7" t="n"/>
      <x:c r="T52" s="2" t="n"/>
      <x:c r="U52" s="7" t="n"/>
      <x:c r="V52" s="8">
        <x:f>IF(OR(U52="",O52="",K52=""),"", (U52-K52)*O52)</x:f>
      </x:c>
      <x:c r="W52" s="8">
        <x:f>IF(V52="","", V52-S52)</x:f>
      </x:c>
      <x:c r="X52" s="9">
        <x:f>IF(OR(W52="",N52=0),"", W52/N52)</x:f>
      </x:c>
      <x:c r="Y52" s="10">
        <x:f>IF(OR(W52="",Config!$B$2=0,Config!$B$1=0),"", W52/(Config!$B$1*Config!$B$2))</x:f>
      </x:c>
      <x:c r="Z52" s="2" t="inlineStr">
        <x:is>
          <x:t xml:space="preserve"/>
        </x:is>
      </x:c>
    </x:row>
    <x:row r="53">
      <x:c r="A53" s="2" t="n"/>
      <x:c r="B53" s="3" t="n"/>
      <x:c r="C53" s="2" t="n"/>
      <x:c r="D53" s="4" t="n"/>
      <x:c r="E53" s="2" t="n"/>
      <x:c r="F53" s="5" t="n"/>
      <x:c r="G53" s="5" t="n"/>
      <x:c r="H53" s="2" t="n"/>
      <x:c r="I53" s="6" t="n"/>
      <x:c r="J53" s="6" t="n"/>
      <x:c r="K53" s="7" t="n"/>
      <x:c r="L53" s="7" t="n"/>
      <x:c r="M53" s="7" t="n"/>
      <x:c r="N53" s="7" t="n"/>
      <x:c r="O53" s="2" t="n"/>
      <x:c r="P53" s="7" t="n"/>
      <x:c r="Q53" s="7" t="n"/>
      <x:c r="R53" s="7" t="n"/>
      <x:c r="S53" s="7" t="n"/>
      <x:c r="T53" s="2" t="n"/>
      <x:c r="U53" s="7" t="n"/>
      <x:c r="V53" s="8">
        <x:f>IF(OR(U53="",O53="",K53=""),"", (U53-K53)*O53)</x:f>
      </x:c>
      <x:c r="W53" s="8">
        <x:f>IF(V53="","", V53-S53)</x:f>
      </x:c>
      <x:c r="X53" s="9">
        <x:f>IF(OR(W53="",N53=0),"", W53/N53)</x:f>
      </x:c>
      <x:c r="Y53" s="10">
        <x:f>IF(OR(W53="",Config!$B$2=0,Config!$B$1=0),"", W53/(Config!$B$1*Config!$B$2))</x:f>
      </x:c>
      <x:c r="Z53" s="2" t="inlineStr">
        <x:is>
          <x:t xml:space="preserve"/>
        </x:is>
      </x:c>
    </x:row>
    <x:row r="54">
      <x:c r="A54" s="2" t="n"/>
      <x:c r="B54" s="3" t="n"/>
      <x:c r="C54" s="2" t="n"/>
      <x:c r="D54" s="4" t="n"/>
      <x:c r="E54" s="2" t="n"/>
      <x:c r="F54" s="5" t="n"/>
      <x:c r="G54" s="5" t="n"/>
      <x:c r="H54" s="2" t="n"/>
      <x:c r="I54" s="6" t="n"/>
      <x:c r="J54" s="6" t="n"/>
      <x:c r="K54" s="7" t="n"/>
      <x:c r="L54" s="7" t="n"/>
      <x:c r="M54" s="7" t="n"/>
      <x:c r="N54" s="7" t="n"/>
      <x:c r="O54" s="2" t="n"/>
      <x:c r="P54" s="7" t="n"/>
      <x:c r="Q54" s="7" t="n"/>
      <x:c r="R54" s="7" t="n"/>
      <x:c r="S54" s="7" t="n"/>
      <x:c r="T54" s="2" t="n"/>
      <x:c r="U54" s="7" t="n"/>
      <x:c r="V54" s="8">
        <x:f>IF(OR(U54="",O54="",K54=""),"", (U54-K54)*O54)</x:f>
      </x:c>
      <x:c r="W54" s="8">
        <x:f>IF(V54="","", V54-S54)</x:f>
      </x:c>
      <x:c r="X54" s="9">
        <x:f>IF(OR(W54="",N54=0),"", W54/N54)</x:f>
      </x:c>
      <x:c r="Y54" s="10">
        <x:f>IF(OR(W54="",Config!$B$2=0,Config!$B$1=0),"", W54/(Config!$B$1*Config!$B$2))</x:f>
      </x:c>
      <x:c r="Z54" s="2" t="inlineStr">
        <x:is>
          <x:t xml:space="preserve"/>
        </x:is>
      </x:c>
    </x:row>
    <x:row r="55">
      <x:c r="A55" s="2" t="n"/>
      <x:c r="B55" s="3" t="n"/>
      <x:c r="C55" s="2" t="n"/>
      <x:c r="D55" s="4" t="n"/>
      <x:c r="E55" s="2" t="n"/>
      <x:c r="F55" s="5" t="n"/>
      <x:c r="G55" s="5" t="n"/>
      <x:c r="H55" s="2" t="n"/>
      <x:c r="I55" s="6" t="n"/>
      <x:c r="J55" s="6" t="n"/>
      <x:c r="K55" s="7" t="n"/>
      <x:c r="L55" s="7" t="n"/>
      <x:c r="M55" s="7" t="n"/>
      <x:c r="N55" s="7" t="n"/>
      <x:c r="O55" s="2" t="n"/>
      <x:c r="P55" s="7" t="n"/>
      <x:c r="Q55" s="7" t="n"/>
      <x:c r="R55" s="7" t="n"/>
      <x:c r="S55" s="7" t="n"/>
      <x:c r="T55" s="2" t="n"/>
      <x:c r="U55" s="7" t="n"/>
      <x:c r="V55" s="8">
        <x:f>IF(OR(U55="",O55="",K55=""),"", (U55-K55)*O55)</x:f>
      </x:c>
      <x:c r="W55" s="8">
        <x:f>IF(V55="","", V55-S55)</x:f>
      </x:c>
      <x:c r="X55" s="9">
        <x:f>IF(OR(W55="",N55=0),"", W55/N55)</x:f>
      </x:c>
      <x:c r="Y55" s="10">
        <x:f>IF(OR(W55="",Config!$B$2=0,Config!$B$1=0),"", W55/(Config!$B$1*Config!$B$2))</x:f>
      </x:c>
      <x:c r="Z55" s="2" t="inlineStr">
        <x:is>
          <x:t xml:space="preserve"/>
        </x:is>
      </x:c>
    </x:row>
    <x:row r="56">
      <x:c r="A56" s="2" t="n"/>
      <x:c r="B56" s="3" t="n"/>
      <x:c r="C56" s="2" t="n"/>
      <x:c r="D56" s="4" t="n"/>
      <x:c r="E56" s="2" t="n"/>
      <x:c r="F56" s="5" t="n"/>
      <x:c r="G56" s="5" t="n"/>
      <x:c r="H56" s="2" t="n"/>
      <x:c r="I56" s="6" t="n"/>
      <x:c r="J56" s="6" t="n"/>
      <x:c r="K56" s="7" t="n"/>
      <x:c r="L56" s="7" t="n"/>
      <x:c r="M56" s="7" t="n"/>
      <x:c r="N56" s="7" t="n"/>
      <x:c r="O56" s="2" t="n"/>
      <x:c r="P56" s="7" t="n"/>
      <x:c r="Q56" s="7" t="n"/>
      <x:c r="R56" s="7" t="n"/>
      <x:c r="S56" s="7" t="n"/>
      <x:c r="T56" s="2" t="n"/>
      <x:c r="U56" s="7" t="n"/>
      <x:c r="V56" s="8">
        <x:f>IF(OR(U56="",O56="",K56=""),"", (U56-K56)*O56)</x:f>
      </x:c>
      <x:c r="W56" s="8">
        <x:f>IF(V56="","", V56-S56)</x:f>
      </x:c>
      <x:c r="X56" s="9">
        <x:f>IF(OR(W56="",N56=0),"", W56/N56)</x:f>
      </x:c>
      <x:c r="Y56" s="10">
        <x:f>IF(OR(W56="",Config!$B$2=0,Config!$B$1=0),"", W56/(Config!$B$1*Config!$B$2))</x:f>
      </x:c>
      <x:c r="Z56" s="2" t="inlineStr">
        <x:is>
          <x:t xml:space="preserve"/>
        </x:is>
      </x:c>
    </x:row>
    <x:row r="57">
      <x:c r="A57" s="2" t="n"/>
      <x:c r="B57" s="3" t="n"/>
      <x:c r="C57" s="2" t="n"/>
      <x:c r="D57" s="4" t="n"/>
      <x:c r="E57" s="2" t="n"/>
      <x:c r="F57" s="5" t="n"/>
      <x:c r="G57" s="5" t="n"/>
      <x:c r="H57" s="2" t="n"/>
      <x:c r="I57" s="6" t="n"/>
      <x:c r="J57" s="6" t="n"/>
      <x:c r="K57" s="7" t="n"/>
      <x:c r="L57" s="7" t="n"/>
      <x:c r="M57" s="7" t="n"/>
      <x:c r="N57" s="7" t="n"/>
      <x:c r="O57" s="2" t="n"/>
      <x:c r="P57" s="7" t="n"/>
      <x:c r="Q57" s="7" t="n"/>
      <x:c r="R57" s="7" t="n"/>
      <x:c r="S57" s="7" t="n"/>
      <x:c r="T57" s="2" t="n"/>
      <x:c r="U57" s="7" t="n"/>
      <x:c r="V57" s="8">
        <x:f>IF(OR(U57="",O57="",K57=""),"", (U57-K57)*O57)</x:f>
      </x:c>
      <x:c r="W57" s="8">
        <x:f>IF(V57="","", V57-S57)</x:f>
      </x:c>
      <x:c r="X57" s="9">
        <x:f>IF(OR(W57="",N57=0),"", W57/N57)</x:f>
      </x:c>
      <x:c r="Y57" s="10">
        <x:f>IF(OR(W57="",Config!$B$2=0,Config!$B$1=0),"", W57/(Config!$B$1*Config!$B$2))</x:f>
      </x:c>
      <x:c r="Z57" s="2" t="inlineStr">
        <x:is>
          <x:t xml:space="preserve"/>
        </x:is>
      </x:c>
    </x:row>
    <x:row r="58">
      <x:c r="A58" s="2" t="n"/>
      <x:c r="B58" s="3" t="n"/>
      <x:c r="C58" s="2" t="n"/>
      <x:c r="D58" s="4" t="n"/>
      <x:c r="E58" s="2" t="n"/>
      <x:c r="F58" s="5" t="n"/>
      <x:c r="G58" s="5" t="n"/>
      <x:c r="H58" s="2" t="n"/>
      <x:c r="I58" s="6" t="n"/>
      <x:c r="J58" s="6" t="n"/>
      <x:c r="K58" s="7" t="n"/>
      <x:c r="L58" s="7" t="n"/>
      <x:c r="M58" s="7" t="n"/>
      <x:c r="N58" s="7" t="n"/>
      <x:c r="O58" s="2" t="n"/>
      <x:c r="P58" s="7" t="n"/>
      <x:c r="Q58" s="7" t="n"/>
      <x:c r="R58" s="7" t="n"/>
      <x:c r="S58" s="7" t="n"/>
      <x:c r="T58" s="2" t="n"/>
      <x:c r="U58" s="7" t="n"/>
      <x:c r="V58" s="8">
        <x:f>IF(OR(U58="",O58="",K58=""),"", (U58-K58)*O58)</x:f>
      </x:c>
      <x:c r="W58" s="8">
        <x:f>IF(V58="","", V58-S58)</x:f>
      </x:c>
      <x:c r="X58" s="9">
        <x:f>IF(OR(W58="",N58=0),"", W58/N58)</x:f>
      </x:c>
      <x:c r="Y58" s="10">
        <x:f>IF(OR(W58="",Config!$B$2=0,Config!$B$1=0),"", W58/(Config!$B$1*Config!$B$2))</x:f>
      </x:c>
      <x:c r="Z58" s="2" t="inlineStr">
        <x:is>
          <x:t xml:space="preserve"/>
        </x:is>
      </x:c>
    </x:row>
    <x:row r="59">
      <x:c r="A59" s="2" t="n"/>
      <x:c r="B59" s="3" t="n"/>
      <x:c r="C59" s="2" t="n"/>
      <x:c r="D59" s="4" t="n"/>
      <x:c r="E59" s="2" t="n"/>
      <x:c r="F59" s="5" t="n"/>
      <x:c r="G59" s="5" t="n"/>
      <x:c r="H59" s="2" t="n"/>
      <x:c r="I59" s="6" t="n"/>
      <x:c r="J59" s="6" t="n"/>
      <x:c r="K59" s="7" t="n"/>
      <x:c r="L59" s="7" t="n"/>
      <x:c r="M59" s="7" t="n"/>
      <x:c r="N59" s="7" t="n"/>
      <x:c r="O59" s="2" t="n"/>
      <x:c r="P59" s="7" t="n"/>
      <x:c r="Q59" s="7" t="n"/>
      <x:c r="R59" s="7" t="n"/>
      <x:c r="S59" s="7" t="n"/>
      <x:c r="T59" s="2" t="n"/>
      <x:c r="U59" s="7" t="n"/>
      <x:c r="V59" s="8">
        <x:f>IF(OR(U59="",O59="",K59=""),"", (U59-K59)*O59)</x:f>
      </x:c>
      <x:c r="W59" s="8">
        <x:f>IF(V59="","", V59-S59)</x:f>
      </x:c>
      <x:c r="X59" s="9">
        <x:f>IF(OR(W59="",N59=0),"", W59/N59)</x:f>
      </x:c>
      <x:c r="Y59" s="10">
        <x:f>IF(OR(W59="",Config!$B$2=0,Config!$B$1=0),"", W59/(Config!$B$1*Config!$B$2))</x:f>
      </x:c>
      <x:c r="Z59" s="2" t="inlineStr">
        <x:is>
          <x:t xml:space="preserve"/>
        </x:is>
      </x:c>
    </x:row>
    <x:row r="60">
      <x:c r="A60" s="2" t="n"/>
      <x:c r="B60" s="3" t="n"/>
      <x:c r="C60" s="2" t="n"/>
      <x:c r="D60" s="4" t="n"/>
      <x:c r="E60" s="2" t="n"/>
      <x:c r="F60" s="5" t="n"/>
      <x:c r="G60" s="5" t="n"/>
      <x:c r="H60" s="2" t="n"/>
      <x:c r="I60" s="6" t="n"/>
      <x:c r="J60" s="6" t="n"/>
      <x:c r="K60" s="7" t="n"/>
      <x:c r="L60" s="7" t="n"/>
      <x:c r="M60" s="7" t="n"/>
      <x:c r="N60" s="7" t="n"/>
      <x:c r="O60" s="2" t="n"/>
      <x:c r="P60" s="7" t="n"/>
      <x:c r="Q60" s="7" t="n"/>
      <x:c r="R60" s="7" t="n"/>
      <x:c r="S60" s="7" t="n"/>
      <x:c r="T60" s="2" t="n"/>
      <x:c r="U60" s="7" t="n"/>
      <x:c r="V60" s="8">
        <x:f>IF(OR(U60="",O60="",K60=""),"", (U60-K60)*O60)</x:f>
      </x:c>
      <x:c r="W60" s="8">
        <x:f>IF(V60="","", V60-S60)</x:f>
      </x:c>
      <x:c r="X60" s="9">
        <x:f>IF(OR(W60="",N60=0),"", W60/N60)</x:f>
      </x:c>
      <x:c r="Y60" s="10">
        <x:f>IF(OR(W60="",Config!$B$2=0,Config!$B$1=0),"", W60/(Config!$B$1*Config!$B$2))</x:f>
      </x:c>
      <x:c r="Z60" s="2" t="inlineStr">
        <x:is>
          <x:t xml:space="preserve"/>
        </x:is>
      </x:c>
    </x:row>
    <x:row r="61">
      <x:c r="A61" s="2" t="n"/>
      <x:c r="B61" s="3" t="n"/>
      <x:c r="C61" s="2" t="n"/>
      <x:c r="D61" s="4" t="n"/>
      <x:c r="E61" s="2" t="n"/>
      <x:c r="F61" s="5" t="n"/>
      <x:c r="G61" s="5" t="n"/>
      <x:c r="H61" s="2" t="n"/>
      <x:c r="I61" s="6" t="n"/>
      <x:c r="J61" s="6" t="n"/>
      <x:c r="K61" s="7" t="n"/>
      <x:c r="L61" s="7" t="n"/>
      <x:c r="M61" s="7" t="n"/>
      <x:c r="N61" s="7" t="n"/>
      <x:c r="O61" s="2" t="n"/>
      <x:c r="P61" s="7" t="n"/>
      <x:c r="Q61" s="7" t="n"/>
      <x:c r="R61" s="7" t="n"/>
      <x:c r="S61" s="7" t="n"/>
      <x:c r="T61" s="2" t="n"/>
      <x:c r="U61" s="7" t="n"/>
      <x:c r="V61" s="8">
        <x:f>IF(OR(U61="",O61="",K61=""),"", (U61-K61)*O61)</x:f>
      </x:c>
      <x:c r="W61" s="8">
        <x:f>IF(V61="","", V61-S61)</x:f>
      </x:c>
      <x:c r="X61" s="9">
        <x:f>IF(OR(W61="",N61=0),"", W61/N61)</x:f>
      </x:c>
      <x:c r="Y61" s="10">
        <x:f>IF(OR(W61="",Config!$B$2=0,Config!$B$1=0),"", W61/(Config!$B$1*Config!$B$2))</x:f>
      </x:c>
      <x:c r="Z61" s="2" t="inlineStr">
        <x:is>
          <x:t xml:space="preserve"/>
        </x:is>
      </x:c>
    </x:row>
    <x:row r="62">
      <x:c r="A62" s="2" t="n"/>
      <x:c r="B62" s="3" t="n"/>
      <x:c r="C62" s="2" t="n"/>
      <x:c r="D62" s="4" t="n"/>
      <x:c r="E62" s="2" t="n"/>
      <x:c r="F62" s="5" t="n"/>
      <x:c r="G62" s="5" t="n"/>
      <x:c r="H62" s="2" t="n"/>
      <x:c r="I62" s="6" t="n"/>
      <x:c r="J62" s="6" t="n"/>
      <x:c r="K62" s="7" t="n"/>
      <x:c r="L62" s="7" t="n"/>
      <x:c r="M62" s="7" t="n"/>
      <x:c r="N62" s="7" t="n"/>
      <x:c r="O62" s="2" t="n"/>
      <x:c r="P62" s="7" t="n"/>
      <x:c r="Q62" s="7" t="n"/>
      <x:c r="R62" s="7" t="n"/>
      <x:c r="S62" s="7" t="n"/>
      <x:c r="T62" s="2" t="n"/>
      <x:c r="U62" s="7" t="n"/>
      <x:c r="V62" s="8">
        <x:f>IF(OR(U62="",O62="",K62=""),"", (U62-K62)*O62)</x:f>
      </x:c>
      <x:c r="W62" s="8">
        <x:f>IF(V62="","", V62-S62)</x:f>
      </x:c>
      <x:c r="X62" s="9">
        <x:f>IF(OR(W62="",N62=0),"", W62/N62)</x:f>
      </x:c>
      <x:c r="Y62" s="10">
        <x:f>IF(OR(W62="",Config!$B$2=0,Config!$B$1=0),"", W62/(Config!$B$1*Config!$B$2))</x:f>
      </x:c>
      <x:c r="Z62" s="2" t="inlineStr">
        <x:is>
          <x:t xml:space="preserve"/>
        </x:is>
      </x:c>
    </x:row>
    <x:row r="63">
      <x:c r="A63" s="2" t="n"/>
      <x:c r="B63" s="3" t="n"/>
      <x:c r="C63" s="2" t="n"/>
      <x:c r="D63" s="4" t="n"/>
      <x:c r="E63" s="2" t="n"/>
      <x:c r="F63" s="5" t="n"/>
      <x:c r="G63" s="5" t="n"/>
      <x:c r="H63" s="2" t="n"/>
      <x:c r="I63" s="6" t="n"/>
      <x:c r="J63" s="6" t="n"/>
      <x:c r="K63" s="7" t="n"/>
      <x:c r="L63" s="7" t="n"/>
      <x:c r="M63" s="7" t="n"/>
      <x:c r="N63" s="7" t="n"/>
      <x:c r="O63" s="2" t="n"/>
      <x:c r="P63" s="7" t="n"/>
      <x:c r="Q63" s="7" t="n"/>
      <x:c r="R63" s="7" t="n"/>
      <x:c r="S63" s="7" t="n"/>
      <x:c r="T63" s="2" t="n"/>
      <x:c r="U63" s="7" t="n"/>
      <x:c r="V63" s="8">
        <x:f>IF(OR(U63="",O63="",K63=""),"", (U63-K63)*O63)</x:f>
      </x:c>
      <x:c r="W63" s="8">
        <x:f>IF(V63="","", V63-S63)</x:f>
      </x:c>
      <x:c r="X63" s="9">
        <x:f>IF(OR(W63="",N63=0),"", W63/N63)</x:f>
      </x:c>
      <x:c r="Y63" s="10">
        <x:f>IF(OR(W63="",Config!$B$2=0,Config!$B$1=0),"", W63/(Config!$B$1*Config!$B$2))</x:f>
      </x:c>
      <x:c r="Z63" s="2" t="inlineStr">
        <x:is>
          <x:t xml:space="preserve"/>
        </x:is>
      </x:c>
    </x:row>
    <x:row r="64">
      <x:c r="A64" s="2" t="n"/>
      <x:c r="B64" s="3" t="n"/>
      <x:c r="C64" s="2" t="n"/>
      <x:c r="D64" s="4" t="n"/>
      <x:c r="E64" s="2" t="n"/>
      <x:c r="F64" s="5" t="n"/>
      <x:c r="G64" s="5" t="n"/>
      <x:c r="H64" s="2" t="n"/>
      <x:c r="I64" s="6" t="n"/>
      <x:c r="J64" s="6" t="n"/>
      <x:c r="K64" s="7" t="n"/>
      <x:c r="L64" s="7" t="n"/>
      <x:c r="M64" s="7" t="n"/>
      <x:c r="N64" s="7" t="n"/>
      <x:c r="O64" s="2" t="n"/>
      <x:c r="P64" s="7" t="n"/>
      <x:c r="Q64" s="7" t="n"/>
      <x:c r="R64" s="7" t="n"/>
      <x:c r="S64" s="7" t="n"/>
      <x:c r="T64" s="2" t="n"/>
      <x:c r="U64" s="7" t="n"/>
      <x:c r="V64" s="8">
        <x:f>IF(OR(U64="",O64="",K64=""),"", (U64-K64)*O64)</x:f>
      </x:c>
      <x:c r="W64" s="8">
        <x:f>IF(V64="","", V64-S64)</x:f>
      </x:c>
      <x:c r="X64" s="9">
        <x:f>IF(OR(W64="",N64=0),"", W64/N64)</x:f>
      </x:c>
      <x:c r="Y64" s="10">
        <x:f>IF(OR(W64="",Config!$B$2=0,Config!$B$1=0),"", W64/(Config!$B$1*Config!$B$2))</x:f>
      </x:c>
      <x:c r="Z64" s="2" t="inlineStr">
        <x:is>
          <x:t xml:space="preserve"/>
        </x:is>
      </x:c>
    </x:row>
    <x:row r="65">
      <x:c r="A65" s="2" t="n"/>
      <x:c r="B65" s="3" t="n"/>
      <x:c r="C65" s="2" t="n"/>
      <x:c r="D65" s="4" t="n"/>
      <x:c r="E65" s="2" t="n"/>
      <x:c r="F65" s="5" t="n"/>
      <x:c r="G65" s="5" t="n"/>
      <x:c r="H65" s="2" t="n"/>
      <x:c r="I65" s="6" t="n"/>
      <x:c r="J65" s="6" t="n"/>
      <x:c r="K65" s="7" t="n"/>
      <x:c r="L65" s="7" t="n"/>
      <x:c r="M65" s="7" t="n"/>
      <x:c r="N65" s="7" t="n"/>
      <x:c r="O65" s="2" t="n"/>
      <x:c r="P65" s="7" t="n"/>
      <x:c r="Q65" s="7" t="n"/>
      <x:c r="R65" s="7" t="n"/>
      <x:c r="S65" s="7" t="n"/>
      <x:c r="T65" s="2" t="n"/>
      <x:c r="U65" s="7" t="n"/>
      <x:c r="V65" s="8">
        <x:f>IF(OR(U65="",O65="",K65=""),"", (U65-K65)*O65)</x:f>
      </x:c>
      <x:c r="W65" s="8">
        <x:f>IF(V65="","", V65-S65)</x:f>
      </x:c>
      <x:c r="X65" s="9">
        <x:f>IF(OR(W65="",N65=0),"", W65/N65)</x:f>
      </x:c>
      <x:c r="Y65" s="10">
        <x:f>IF(OR(W65="",Config!$B$2=0,Config!$B$1=0),"", W65/(Config!$B$1*Config!$B$2))</x:f>
      </x:c>
      <x:c r="Z65" s="2" t="inlineStr">
        <x:is>
          <x:t xml:space="preserve"/>
        </x:is>
      </x:c>
    </x:row>
    <x:row r="66">
      <x:c r="A66" s="2" t="n"/>
      <x:c r="B66" s="3" t="n"/>
      <x:c r="C66" s="2" t="n"/>
      <x:c r="D66" s="4" t="n"/>
      <x:c r="E66" s="2" t="n"/>
      <x:c r="F66" s="5" t="n"/>
      <x:c r="G66" s="5" t="n"/>
      <x:c r="H66" s="2" t="n"/>
      <x:c r="I66" s="6" t="n"/>
      <x:c r="J66" s="6" t="n"/>
      <x:c r="K66" s="7" t="n"/>
      <x:c r="L66" s="7" t="n"/>
      <x:c r="M66" s="7" t="n"/>
      <x:c r="N66" s="7" t="n"/>
      <x:c r="O66" s="2" t="n"/>
      <x:c r="P66" s="7" t="n"/>
      <x:c r="Q66" s="7" t="n"/>
      <x:c r="R66" s="7" t="n"/>
      <x:c r="S66" s="7" t="n"/>
      <x:c r="T66" s="2" t="n"/>
      <x:c r="U66" s="7" t="n"/>
      <x:c r="V66" s="8">
        <x:f>IF(OR(U66="",O66="",K66=""),"", (U66-K66)*O66)</x:f>
      </x:c>
      <x:c r="W66" s="8">
        <x:f>IF(V66="","", V66-S66)</x:f>
      </x:c>
      <x:c r="X66" s="9">
        <x:f>IF(OR(W66="",N66=0),"", W66/N66)</x:f>
      </x:c>
      <x:c r="Y66" s="10">
        <x:f>IF(OR(W66="",Config!$B$2=0,Config!$B$1=0),"", W66/(Config!$B$1*Config!$B$2))</x:f>
      </x:c>
      <x:c r="Z66" s="2" t="inlineStr">
        <x:is>
          <x:t xml:space="preserve"/>
        </x:is>
      </x:c>
    </x:row>
    <x:row r="67">
      <x:c r="A67" s="2" t="n"/>
      <x:c r="B67" s="3" t="n"/>
      <x:c r="C67" s="2" t="n"/>
      <x:c r="D67" s="4" t="n"/>
      <x:c r="E67" s="2" t="n"/>
      <x:c r="F67" s="5" t="n"/>
      <x:c r="G67" s="5" t="n"/>
      <x:c r="H67" s="2" t="n"/>
      <x:c r="I67" s="6" t="n"/>
      <x:c r="J67" s="6" t="n"/>
      <x:c r="K67" s="7" t="n"/>
      <x:c r="L67" s="7" t="n"/>
      <x:c r="M67" s="7" t="n"/>
      <x:c r="N67" s="7" t="n"/>
      <x:c r="O67" s="2" t="n"/>
      <x:c r="P67" s="7" t="n"/>
      <x:c r="Q67" s="7" t="n"/>
      <x:c r="R67" s="7" t="n"/>
      <x:c r="S67" s="7" t="n"/>
      <x:c r="T67" s="2" t="n"/>
      <x:c r="U67" s="7" t="n"/>
      <x:c r="V67" s="8">
        <x:f>IF(OR(U67="",O67="",K67=""),"", (U67-K67)*O67)</x:f>
      </x:c>
      <x:c r="W67" s="8">
        <x:f>IF(V67="","", V67-S67)</x:f>
      </x:c>
      <x:c r="X67" s="9">
        <x:f>IF(OR(W67="",N67=0),"", W67/N67)</x:f>
      </x:c>
      <x:c r="Y67" s="10">
        <x:f>IF(OR(W67="",Config!$B$2=0,Config!$B$1=0),"", W67/(Config!$B$1*Config!$B$2))</x:f>
      </x:c>
      <x:c r="Z67" s="2" t="inlineStr">
        <x:is>
          <x:t xml:space="preserve"/>
        </x:is>
      </x:c>
    </x:row>
    <x:row r="68">
      <x:c r="A68" s="2" t="n"/>
      <x:c r="B68" s="3" t="n"/>
      <x:c r="C68" s="2" t="n"/>
      <x:c r="D68" s="4" t="n"/>
      <x:c r="E68" s="2" t="n"/>
      <x:c r="F68" s="5" t="n"/>
      <x:c r="G68" s="5" t="n"/>
      <x:c r="H68" s="2" t="n"/>
      <x:c r="I68" s="6" t="n"/>
      <x:c r="J68" s="6" t="n"/>
      <x:c r="K68" s="7" t="n"/>
      <x:c r="L68" s="7" t="n"/>
      <x:c r="M68" s="7" t="n"/>
      <x:c r="N68" s="7" t="n"/>
      <x:c r="O68" s="2" t="n"/>
      <x:c r="P68" s="7" t="n"/>
      <x:c r="Q68" s="7" t="n"/>
      <x:c r="R68" s="7" t="n"/>
      <x:c r="S68" s="7" t="n"/>
      <x:c r="T68" s="2" t="n"/>
      <x:c r="U68" s="7" t="n"/>
      <x:c r="V68" s="8">
        <x:f>IF(OR(U68="",O68="",K68=""),"", (U68-K68)*O68)</x:f>
      </x:c>
      <x:c r="W68" s="8">
        <x:f>IF(V68="","", V68-S68)</x:f>
      </x:c>
      <x:c r="X68" s="9">
        <x:f>IF(OR(W68="",N68=0),"", W68/N68)</x:f>
      </x:c>
      <x:c r="Y68" s="10">
        <x:f>IF(OR(W68="",Config!$B$2=0,Config!$B$1=0),"", W68/(Config!$B$1*Config!$B$2))</x:f>
      </x:c>
      <x:c r="Z68" s="2" t="inlineStr">
        <x:is>
          <x:t xml:space="preserve"/>
        </x:is>
      </x:c>
    </x:row>
    <x:row r="69">
      <x:c r="A69" s="2" t="n"/>
      <x:c r="B69" s="3" t="n"/>
      <x:c r="C69" s="2" t="n"/>
      <x:c r="D69" s="4" t="n"/>
      <x:c r="E69" s="2" t="n"/>
      <x:c r="F69" s="5" t="n"/>
      <x:c r="G69" s="5" t="n"/>
      <x:c r="H69" s="2" t="n"/>
      <x:c r="I69" s="6" t="n"/>
      <x:c r="J69" s="6" t="n"/>
      <x:c r="K69" s="7" t="n"/>
      <x:c r="L69" s="7" t="n"/>
      <x:c r="M69" s="7" t="n"/>
      <x:c r="N69" s="7" t="n"/>
      <x:c r="O69" s="2" t="n"/>
      <x:c r="P69" s="7" t="n"/>
      <x:c r="Q69" s="7" t="n"/>
      <x:c r="R69" s="7" t="n"/>
      <x:c r="S69" s="7" t="n"/>
      <x:c r="T69" s="2" t="n"/>
      <x:c r="U69" s="7" t="n"/>
      <x:c r="V69" s="8">
        <x:f>IF(OR(U69="",O69="",K69=""),"", (U69-K69)*O69)</x:f>
      </x:c>
      <x:c r="W69" s="8">
        <x:f>IF(V69="","", V69-S69)</x:f>
      </x:c>
      <x:c r="X69" s="9">
        <x:f>IF(OR(W69="",N69=0),"", W69/N69)</x:f>
      </x:c>
      <x:c r="Y69" s="10">
        <x:f>IF(OR(W69="",Config!$B$2=0,Config!$B$1=0),"", W69/(Config!$B$1*Config!$B$2))</x:f>
      </x:c>
      <x:c r="Z69" s="2" t="inlineStr">
        <x:is>
          <x:t xml:space="preserve"/>
        </x:is>
      </x:c>
    </x:row>
    <x:row r="70">
      <x:c r="A70" s="2" t="n"/>
      <x:c r="B70" s="3" t="n"/>
      <x:c r="C70" s="2" t="n"/>
      <x:c r="D70" s="4" t="n"/>
      <x:c r="E70" s="2" t="n"/>
      <x:c r="F70" s="5" t="n"/>
      <x:c r="G70" s="5" t="n"/>
      <x:c r="H70" s="2" t="n"/>
      <x:c r="I70" s="6" t="n"/>
      <x:c r="J70" s="6" t="n"/>
      <x:c r="K70" s="7" t="n"/>
      <x:c r="L70" s="7" t="n"/>
      <x:c r="M70" s="7" t="n"/>
      <x:c r="N70" s="7" t="n"/>
      <x:c r="O70" s="2" t="n"/>
      <x:c r="P70" s="7" t="n"/>
      <x:c r="Q70" s="7" t="n"/>
      <x:c r="R70" s="7" t="n"/>
      <x:c r="S70" s="7" t="n"/>
      <x:c r="T70" s="2" t="n"/>
      <x:c r="U70" s="7" t="n"/>
      <x:c r="V70" s="8">
        <x:f>IF(OR(U70="",O70="",K70=""),"", (U70-K70)*O70)</x:f>
      </x:c>
      <x:c r="W70" s="8">
        <x:f>IF(V70="","", V70-S70)</x:f>
      </x:c>
      <x:c r="X70" s="9">
        <x:f>IF(OR(W70="",N70=0),"", W70/N70)</x:f>
      </x:c>
      <x:c r="Y70" s="10">
        <x:f>IF(OR(W70="",Config!$B$2=0,Config!$B$1=0),"", W70/(Config!$B$1*Config!$B$2))</x:f>
      </x:c>
      <x:c r="Z70" s="2" t="inlineStr">
        <x:is>
          <x:t xml:space="preserve"/>
        </x:is>
      </x:c>
    </x:row>
    <x:row r="71">
      <x:c r="A71" s="2" t="n"/>
      <x:c r="B71" s="3" t="n"/>
      <x:c r="C71" s="2" t="n"/>
      <x:c r="D71" s="4" t="n"/>
      <x:c r="E71" s="2" t="n"/>
      <x:c r="F71" s="5" t="n"/>
      <x:c r="G71" s="5" t="n"/>
      <x:c r="H71" s="2" t="n"/>
      <x:c r="I71" s="6" t="n"/>
      <x:c r="J71" s="6" t="n"/>
      <x:c r="K71" s="7" t="n"/>
      <x:c r="L71" s="7" t="n"/>
      <x:c r="M71" s="7" t="n"/>
      <x:c r="N71" s="7" t="n"/>
      <x:c r="O71" s="2" t="n"/>
      <x:c r="P71" s="7" t="n"/>
      <x:c r="Q71" s="7" t="n"/>
      <x:c r="R71" s="7" t="n"/>
      <x:c r="S71" s="7" t="n"/>
      <x:c r="T71" s="2" t="n"/>
      <x:c r="U71" s="7" t="n"/>
      <x:c r="V71" s="8">
        <x:f>IF(OR(U71="",O71="",K71=""),"", (U71-K71)*O71)</x:f>
      </x:c>
      <x:c r="W71" s="8">
        <x:f>IF(V71="","", V71-S71)</x:f>
      </x:c>
      <x:c r="X71" s="9">
        <x:f>IF(OR(W71="",N71=0),"", W71/N71)</x:f>
      </x:c>
      <x:c r="Y71" s="10">
        <x:f>IF(OR(W71="",Config!$B$2=0,Config!$B$1=0),"", W71/(Config!$B$1*Config!$B$2))</x:f>
      </x:c>
      <x:c r="Z71" s="2" t="inlineStr">
        <x:is>
          <x:t xml:space="preserve"/>
        </x:is>
      </x:c>
    </x:row>
    <x:row r="72">
      <x:c r="A72" s="2" t="n"/>
      <x:c r="B72" s="3" t="n"/>
      <x:c r="C72" s="2" t="n"/>
      <x:c r="D72" s="4" t="n"/>
      <x:c r="E72" s="2" t="n"/>
      <x:c r="F72" s="5" t="n"/>
      <x:c r="G72" s="5" t="n"/>
      <x:c r="H72" s="2" t="n"/>
      <x:c r="I72" s="6" t="n"/>
      <x:c r="J72" s="6" t="n"/>
      <x:c r="K72" s="7" t="n"/>
      <x:c r="L72" s="7" t="n"/>
      <x:c r="M72" s="7" t="n"/>
      <x:c r="N72" s="7" t="n"/>
      <x:c r="O72" s="2" t="n"/>
      <x:c r="P72" s="7" t="n"/>
      <x:c r="Q72" s="7" t="n"/>
      <x:c r="R72" s="7" t="n"/>
      <x:c r="S72" s="7" t="n"/>
      <x:c r="T72" s="2" t="n"/>
      <x:c r="U72" s="7" t="n"/>
      <x:c r="V72" s="8">
        <x:f>IF(OR(U72="",O72="",K72=""),"", (U72-K72)*O72)</x:f>
      </x:c>
      <x:c r="W72" s="8">
        <x:f>IF(V72="","", V72-S72)</x:f>
      </x:c>
      <x:c r="X72" s="9">
        <x:f>IF(OR(W72="",N72=0),"", W72/N72)</x:f>
      </x:c>
      <x:c r="Y72" s="10">
        <x:f>IF(OR(W72="",Config!$B$2=0,Config!$B$1=0),"", W72/(Config!$B$1*Config!$B$2))</x:f>
      </x:c>
      <x:c r="Z72" s="2" t="inlineStr">
        <x:is>
          <x:t xml:space="preserve"/>
        </x:is>
      </x:c>
    </x:row>
    <x:row r="73">
      <x:c r="A73" s="2" t="n"/>
      <x:c r="B73" s="3" t="n"/>
      <x:c r="C73" s="2" t="n"/>
      <x:c r="D73" s="4" t="n"/>
      <x:c r="E73" s="2" t="n"/>
      <x:c r="F73" s="5" t="n"/>
      <x:c r="G73" s="5" t="n"/>
      <x:c r="H73" s="2" t="n"/>
      <x:c r="I73" s="6" t="n"/>
      <x:c r="J73" s="6" t="n"/>
      <x:c r="K73" s="7" t="n"/>
      <x:c r="L73" s="7" t="n"/>
      <x:c r="M73" s="7" t="n"/>
      <x:c r="N73" s="7" t="n"/>
      <x:c r="O73" s="2" t="n"/>
      <x:c r="P73" s="7" t="n"/>
      <x:c r="Q73" s="7" t="n"/>
      <x:c r="R73" s="7" t="n"/>
      <x:c r="S73" s="7" t="n"/>
      <x:c r="T73" s="2" t="n"/>
      <x:c r="U73" s="7" t="n"/>
      <x:c r="V73" s="8">
        <x:f>IF(OR(U73="",O73="",K73=""),"", (U73-K73)*O73)</x:f>
      </x:c>
      <x:c r="W73" s="8">
        <x:f>IF(V73="","", V73-S73)</x:f>
      </x:c>
      <x:c r="X73" s="9">
        <x:f>IF(OR(W73="",N73=0),"", W73/N73)</x:f>
      </x:c>
      <x:c r="Y73" s="10">
        <x:f>IF(OR(W73="",Config!$B$2=0,Config!$B$1=0),"", W73/(Config!$B$1*Config!$B$2))</x:f>
      </x:c>
      <x:c r="Z73" s="2" t="inlineStr">
        <x:is>
          <x:t xml:space="preserve"/>
        </x:is>
      </x:c>
    </x:row>
    <x:row r="74">
      <x:c r="A74" s="2" t="n"/>
      <x:c r="B74" s="3" t="n"/>
      <x:c r="C74" s="2" t="n"/>
      <x:c r="D74" s="4" t="n"/>
      <x:c r="E74" s="2" t="n"/>
      <x:c r="F74" s="5" t="n"/>
      <x:c r="G74" s="5" t="n"/>
      <x:c r="H74" s="2" t="n"/>
      <x:c r="I74" s="6" t="n"/>
      <x:c r="J74" s="6" t="n"/>
      <x:c r="K74" s="7" t="n"/>
      <x:c r="L74" s="7" t="n"/>
      <x:c r="M74" s="7" t="n"/>
      <x:c r="N74" s="7" t="n"/>
      <x:c r="O74" s="2" t="n"/>
      <x:c r="P74" s="7" t="n"/>
      <x:c r="Q74" s="7" t="n"/>
      <x:c r="R74" s="7" t="n"/>
      <x:c r="S74" s="7" t="n"/>
      <x:c r="T74" s="2" t="n"/>
      <x:c r="U74" s="7" t="n"/>
      <x:c r="V74" s="8">
        <x:f>IF(OR(U74="",O74="",K74=""),"", (U74-K74)*O74)</x:f>
      </x:c>
      <x:c r="W74" s="8">
        <x:f>IF(V74="","", V74-S74)</x:f>
      </x:c>
      <x:c r="X74" s="9">
        <x:f>IF(OR(W74="",N74=0),"", W74/N74)</x:f>
      </x:c>
      <x:c r="Y74" s="10">
        <x:f>IF(OR(W74="",Config!$B$2=0,Config!$B$1=0),"", W74/(Config!$B$1*Config!$B$2))</x:f>
      </x:c>
      <x:c r="Z74" s="2" t="inlineStr">
        <x:is>
          <x:t xml:space="preserve"/>
        </x:is>
      </x:c>
    </x:row>
    <x:row r="75">
      <x:c r="A75" s="2" t="n"/>
      <x:c r="B75" s="3" t="n"/>
      <x:c r="C75" s="2" t="n"/>
      <x:c r="D75" s="4" t="n"/>
      <x:c r="E75" s="2" t="n"/>
      <x:c r="F75" s="5" t="n"/>
      <x:c r="G75" s="5" t="n"/>
      <x:c r="H75" s="2" t="n"/>
      <x:c r="I75" s="6" t="n"/>
      <x:c r="J75" s="6" t="n"/>
      <x:c r="K75" s="7" t="n"/>
      <x:c r="L75" s="7" t="n"/>
      <x:c r="M75" s="7" t="n"/>
      <x:c r="N75" s="7" t="n"/>
      <x:c r="O75" s="2" t="n"/>
      <x:c r="P75" s="7" t="n"/>
      <x:c r="Q75" s="7" t="n"/>
      <x:c r="R75" s="7" t="n"/>
      <x:c r="S75" s="7" t="n"/>
      <x:c r="T75" s="2" t="n"/>
      <x:c r="U75" s="7" t="n"/>
      <x:c r="V75" s="8">
        <x:f>IF(OR(U75="",O75="",K75=""),"", (U75-K75)*O75)</x:f>
      </x:c>
      <x:c r="W75" s="8">
        <x:f>IF(V75="","", V75-S75)</x:f>
      </x:c>
      <x:c r="X75" s="9">
        <x:f>IF(OR(W75="",N75=0),"", W75/N75)</x:f>
      </x:c>
      <x:c r="Y75" s="10">
        <x:f>IF(OR(W75="",Config!$B$2=0,Config!$B$1=0),"", W75/(Config!$B$1*Config!$B$2))</x:f>
      </x:c>
      <x:c r="Z75" s="2" t="inlineStr">
        <x:is>
          <x:t xml:space="preserve"/>
        </x:is>
      </x:c>
    </x:row>
    <x:row r="76">
      <x:c r="A76" s="2" t="n"/>
      <x:c r="B76" s="3" t="n"/>
      <x:c r="C76" s="2" t="n"/>
      <x:c r="D76" s="4" t="n"/>
      <x:c r="E76" s="2" t="n"/>
      <x:c r="F76" s="5" t="n"/>
      <x:c r="G76" s="5" t="n"/>
      <x:c r="H76" s="2" t="n"/>
      <x:c r="I76" s="6" t="n"/>
      <x:c r="J76" s="6" t="n"/>
      <x:c r="K76" s="7" t="n"/>
      <x:c r="L76" s="7" t="n"/>
      <x:c r="M76" s="7" t="n"/>
      <x:c r="N76" s="7" t="n"/>
      <x:c r="O76" s="2" t="n"/>
      <x:c r="P76" s="7" t="n"/>
      <x:c r="Q76" s="7" t="n"/>
      <x:c r="R76" s="7" t="n"/>
      <x:c r="S76" s="7" t="n"/>
      <x:c r="T76" s="2" t="n"/>
      <x:c r="U76" s="7" t="n"/>
      <x:c r="V76" s="8">
        <x:f>IF(OR(U76="",O76="",K76=""),"", (U76-K76)*O76)</x:f>
      </x:c>
      <x:c r="W76" s="8">
        <x:f>IF(V76="","", V76-S76)</x:f>
      </x:c>
      <x:c r="X76" s="9">
        <x:f>IF(OR(W76="",N76=0),"", W76/N76)</x:f>
      </x:c>
      <x:c r="Y76" s="10">
        <x:f>IF(OR(W76="",Config!$B$2=0,Config!$B$1=0),"", W76/(Config!$B$1*Config!$B$2))</x:f>
      </x:c>
      <x:c r="Z76" s="2" t="inlineStr">
        <x:is>
          <x:t xml:space="preserve"/>
        </x:is>
      </x:c>
    </x:row>
    <x:row r="77">
      <x:c r="A77" s="2" t="n"/>
      <x:c r="B77" s="3" t="n"/>
      <x:c r="C77" s="2" t="n"/>
      <x:c r="D77" s="4" t="n"/>
      <x:c r="E77" s="2" t="n"/>
      <x:c r="F77" s="5" t="n"/>
      <x:c r="G77" s="5" t="n"/>
      <x:c r="H77" s="2" t="n"/>
      <x:c r="I77" s="6" t="n"/>
      <x:c r="J77" s="6" t="n"/>
      <x:c r="K77" s="7" t="n"/>
      <x:c r="L77" s="7" t="n"/>
      <x:c r="M77" s="7" t="n"/>
      <x:c r="N77" s="7" t="n"/>
      <x:c r="O77" s="2" t="n"/>
      <x:c r="P77" s="7" t="n"/>
      <x:c r="Q77" s="7" t="n"/>
      <x:c r="R77" s="7" t="n"/>
      <x:c r="S77" s="7" t="n"/>
      <x:c r="T77" s="2" t="n"/>
      <x:c r="U77" s="7" t="n"/>
      <x:c r="V77" s="8">
        <x:f>IF(OR(U77="",O77="",K77=""),"", (U77-K77)*O77)</x:f>
      </x:c>
      <x:c r="W77" s="8">
        <x:f>IF(V77="","", V77-S77)</x:f>
      </x:c>
      <x:c r="X77" s="9">
        <x:f>IF(OR(W77="",N77=0),"", W77/N77)</x:f>
      </x:c>
      <x:c r="Y77" s="10">
        <x:f>IF(OR(W77="",Config!$B$2=0,Config!$B$1=0),"", W77/(Config!$B$1*Config!$B$2))</x:f>
      </x:c>
      <x:c r="Z77" s="2" t="inlineStr">
        <x:is>
          <x:t xml:space="preserve"/>
        </x:is>
      </x:c>
    </x:row>
    <x:row r="78">
      <x:c r="A78" s="2" t="n"/>
      <x:c r="B78" s="3" t="n"/>
      <x:c r="C78" s="2" t="n"/>
      <x:c r="D78" s="4" t="n"/>
      <x:c r="E78" s="2" t="n"/>
      <x:c r="F78" s="5" t="n"/>
      <x:c r="G78" s="5" t="n"/>
      <x:c r="H78" s="2" t="n"/>
      <x:c r="I78" s="6" t="n"/>
      <x:c r="J78" s="6" t="n"/>
      <x:c r="K78" s="7" t="n"/>
      <x:c r="L78" s="7" t="n"/>
      <x:c r="M78" s="7" t="n"/>
      <x:c r="N78" s="7" t="n"/>
      <x:c r="O78" s="2" t="n"/>
      <x:c r="P78" s="7" t="n"/>
      <x:c r="Q78" s="7" t="n"/>
      <x:c r="R78" s="7" t="n"/>
      <x:c r="S78" s="7" t="n"/>
      <x:c r="T78" s="2" t="n"/>
      <x:c r="U78" s="7" t="n"/>
      <x:c r="V78" s="8">
        <x:f>IF(OR(U78="",O78="",K78=""),"", (U78-K78)*O78)</x:f>
      </x:c>
      <x:c r="W78" s="8">
        <x:f>IF(V78="","", V78-S78)</x:f>
      </x:c>
      <x:c r="X78" s="9">
        <x:f>IF(OR(W78="",N78=0),"", W78/N78)</x:f>
      </x:c>
      <x:c r="Y78" s="10">
        <x:f>IF(OR(W78="",Config!$B$2=0,Config!$B$1=0),"", W78/(Config!$B$1*Config!$B$2))</x:f>
      </x:c>
      <x:c r="Z78" s="2" t="inlineStr">
        <x:is>
          <x:t xml:space="preserve"/>
        </x:is>
      </x:c>
    </x:row>
    <x:row r="79">
      <x:c r="A79" s="2" t="n"/>
      <x:c r="B79" s="3" t="n"/>
      <x:c r="C79" s="2" t="n"/>
      <x:c r="D79" s="4" t="n"/>
      <x:c r="E79" s="2" t="n"/>
      <x:c r="F79" s="5" t="n"/>
      <x:c r="G79" s="5" t="n"/>
      <x:c r="H79" s="2" t="n"/>
      <x:c r="I79" s="6" t="n"/>
      <x:c r="J79" s="6" t="n"/>
      <x:c r="K79" s="7" t="n"/>
      <x:c r="L79" s="7" t="n"/>
      <x:c r="M79" s="7" t="n"/>
      <x:c r="N79" s="7" t="n"/>
      <x:c r="O79" s="2" t="n"/>
      <x:c r="P79" s="7" t="n"/>
      <x:c r="Q79" s="7" t="n"/>
      <x:c r="R79" s="7" t="n"/>
      <x:c r="S79" s="7" t="n"/>
      <x:c r="T79" s="2" t="n"/>
      <x:c r="U79" s="7" t="n"/>
      <x:c r="V79" s="8">
        <x:f>IF(OR(U79="",O79="",K79=""),"", (U79-K79)*O79)</x:f>
      </x:c>
      <x:c r="W79" s="8">
        <x:f>IF(V79="","", V79-S79)</x:f>
      </x:c>
      <x:c r="X79" s="9">
        <x:f>IF(OR(W79="",N79=0),"", W79/N79)</x:f>
      </x:c>
      <x:c r="Y79" s="10">
        <x:f>IF(OR(W79="",Config!$B$2=0,Config!$B$1=0),"", W79/(Config!$B$1*Config!$B$2))</x:f>
      </x:c>
      <x:c r="Z79" s="2" t="inlineStr">
        <x:is>
          <x:t xml:space="preserve"/>
        </x:is>
      </x:c>
    </x:row>
    <x:row r="80">
      <x:c r="A80" s="2" t="n"/>
      <x:c r="B80" s="3" t="n"/>
      <x:c r="C80" s="2" t="n"/>
      <x:c r="D80" s="4" t="n"/>
      <x:c r="E80" s="2" t="n"/>
      <x:c r="F80" s="5" t="n"/>
      <x:c r="G80" s="5" t="n"/>
      <x:c r="H80" s="2" t="n"/>
      <x:c r="I80" s="6" t="n"/>
      <x:c r="J80" s="6" t="n"/>
      <x:c r="K80" s="7" t="n"/>
      <x:c r="L80" s="7" t="n"/>
      <x:c r="M80" s="7" t="n"/>
      <x:c r="N80" s="7" t="n"/>
      <x:c r="O80" s="2" t="n"/>
      <x:c r="P80" s="7" t="n"/>
      <x:c r="Q80" s="7" t="n"/>
      <x:c r="R80" s="7" t="n"/>
      <x:c r="S80" s="7" t="n"/>
      <x:c r="T80" s="2" t="n"/>
      <x:c r="U80" s="7" t="n"/>
      <x:c r="V80" s="8">
        <x:f>IF(OR(U80="",O80="",K80=""),"", (U80-K80)*O80)</x:f>
      </x:c>
      <x:c r="W80" s="8">
        <x:f>IF(V80="","", V80-S80)</x:f>
      </x:c>
      <x:c r="X80" s="9">
        <x:f>IF(OR(W80="",N80=0),"", W80/N80)</x:f>
      </x:c>
      <x:c r="Y80" s="10">
        <x:f>IF(OR(W80="",Config!$B$2=0,Config!$B$1=0),"", W80/(Config!$B$1*Config!$B$2))</x:f>
      </x:c>
      <x:c r="Z80" s="2" t="inlineStr">
        <x:is>
          <x:t xml:space="preserve"/>
        </x:is>
      </x:c>
    </x:row>
    <x:row r="81">
      <x:c r="A81" s="2" t="n"/>
      <x:c r="B81" s="3" t="n"/>
      <x:c r="C81" s="2" t="n"/>
      <x:c r="D81" s="4" t="n"/>
      <x:c r="E81" s="2" t="n"/>
      <x:c r="F81" s="5" t="n"/>
      <x:c r="G81" s="5" t="n"/>
      <x:c r="H81" s="2" t="n"/>
      <x:c r="I81" s="6" t="n"/>
      <x:c r="J81" s="6" t="n"/>
      <x:c r="K81" s="7" t="n"/>
      <x:c r="L81" s="7" t="n"/>
      <x:c r="M81" s="7" t="n"/>
      <x:c r="N81" s="7" t="n"/>
      <x:c r="O81" s="2" t="n"/>
      <x:c r="P81" s="7" t="n"/>
      <x:c r="Q81" s="7" t="n"/>
      <x:c r="R81" s="7" t="n"/>
      <x:c r="S81" s="7" t="n"/>
      <x:c r="T81" s="2" t="n"/>
      <x:c r="U81" s="7" t="n"/>
      <x:c r="V81" s="8">
        <x:f>IF(OR(U81="",O81="",K81=""),"", (U81-K81)*O81)</x:f>
      </x:c>
      <x:c r="W81" s="8">
        <x:f>IF(V81="","", V81-S81)</x:f>
      </x:c>
      <x:c r="X81" s="9">
        <x:f>IF(OR(W81="",N81=0),"", W81/N81)</x:f>
      </x:c>
      <x:c r="Y81" s="10">
        <x:f>IF(OR(W81="",Config!$B$2=0,Config!$B$1=0),"", W81/(Config!$B$1*Config!$B$2))</x:f>
      </x:c>
      <x:c r="Z81" s="2" t="inlineStr">
        <x:is>
          <x:t xml:space="preserve"/>
        </x:is>
      </x:c>
    </x:row>
    <x:row r="82">
      <x:c r="A82" s="2" t="n"/>
      <x:c r="B82" s="3" t="n"/>
      <x:c r="C82" s="2" t="n"/>
      <x:c r="D82" s="4" t="n"/>
      <x:c r="E82" s="2" t="n"/>
      <x:c r="F82" s="5" t="n"/>
      <x:c r="G82" s="5" t="n"/>
      <x:c r="H82" s="2" t="n"/>
      <x:c r="I82" s="6" t="n"/>
      <x:c r="J82" s="6" t="n"/>
      <x:c r="K82" s="7" t="n"/>
      <x:c r="L82" s="7" t="n"/>
      <x:c r="M82" s="7" t="n"/>
      <x:c r="N82" s="7" t="n"/>
      <x:c r="O82" s="2" t="n"/>
      <x:c r="P82" s="7" t="n"/>
      <x:c r="Q82" s="7" t="n"/>
      <x:c r="R82" s="7" t="n"/>
      <x:c r="S82" s="7" t="n"/>
      <x:c r="T82" s="2" t="n"/>
      <x:c r="U82" s="7" t="n"/>
      <x:c r="V82" s="8">
        <x:f>IF(OR(U82="",O82="",K82=""),"", (U82-K82)*O82)</x:f>
      </x:c>
      <x:c r="W82" s="8">
        <x:f>IF(V82="","", V82-S82)</x:f>
      </x:c>
      <x:c r="X82" s="9">
        <x:f>IF(OR(W82="",N82=0),"", W82/N82)</x:f>
      </x:c>
      <x:c r="Y82" s="10">
        <x:f>IF(OR(W82="",Config!$B$2=0,Config!$B$1=0),"", W82/(Config!$B$1*Config!$B$2))</x:f>
      </x:c>
      <x:c r="Z82" s="2" t="inlineStr">
        <x:is>
          <x:t xml:space="preserve"/>
        </x:is>
      </x:c>
    </x:row>
    <x:row r="83">
      <x:c r="A83" s="2" t="n"/>
      <x:c r="B83" s="3" t="n"/>
      <x:c r="C83" s="2" t="n"/>
      <x:c r="D83" s="4" t="n"/>
      <x:c r="E83" s="2" t="n"/>
      <x:c r="F83" s="5" t="n"/>
      <x:c r="G83" s="5" t="n"/>
      <x:c r="H83" s="2" t="n"/>
      <x:c r="I83" s="6" t="n"/>
      <x:c r="J83" s="6" t="n"/>
      <x:c r="K83" s="7" t="n"/>
      <x:c r="L83" s="7" t="n"/>
      <x:c r="M83" s="7" t="n"/>
      <x:c r="N83" s="7" t="n"/>
      <x:c r="O83" s="2" t="n"/>
      <x:c r="P83" s="7" t="n"/>
      <x:c r="Q83" s="7" t="n"/>
      <x:c r="R83" s="7" t="n"/>
      <x:c r="S83" s="7" t="n"/>
      <x:c r="T83" s="2" t="n"/>
      <x:c r="U83" s="7" t="n"/>
      <x:c r="V83" s="8">
        <x:f>IF(OR(U83="",O83="",K83=""),"", (U83-K83)*O83)</x:f>
      </x:c>
      <x:c r="W83" s="8">
        <x:f>IF(V83="","", V83-S83)</x:f>
      </x:c>
      <x:c r="X83" s="9">
        <x:f>IF(OR(W83="",N83=0),"", W83/N83)</x:f>
      </x:c>
      <x:c r="Y83" s="10">
        <x:f>IF(OR(W83="",Config!$B$2=0,Config!$B$1=0),"", W83/(Config!$B$1*Config!$B$2))</x:f>
      </x:c>
      <x:c r="Z83" s="2" t="inlineStr">
        <x:is>
          <x:t xml:space="preserve"/>
        </x:is>
      </x:c>
    </x:row>
    <x:row r="84">
      <x:c r="A84" s="2" t="n"/>
      <x:c r="B84" s="3" t="n"/>
      <x:c r="C84" s="2" t="n"/>
      <x:c r="D84" s="4" t="n"/>
      <x:c r="E84" s="2" t="n"/>
      <x:c r="F84" s="5" t="n"/>
      <x:c r="G84" s="5" t="n"/>
      <x:c r="H84" s="2" t="n"/>
      <x:c r="I84" s="6" t="n"/>
      <x:c r="J84" s="6" t="n"/>
      <x:c r="K84" s="7" t="n"/>
      <x:c r="L84" s="7" t="n"/>
      <x:c r="M84" s="7" t="n"/>
      <x:c r="N84" s="7" t="n"/>
      <x:c r="O84" s="2" t="n"/>
      <x:c r="P84" s="7" t="n"/>
      <x:c r="Q84" s="7" t="n"/>
      <x:c r="R84" s="7" t="n"/>
      <x:c r="S84" s="7" t="n"/>
      <x:c r="T84" s="2" t="n"/>
      <x:c r="U84" s="7" t="n"/>
      <x:c r="V84" s="8">
        <x:f>IF(OR(U84="",O84="",K84=""),"", (U84-K84)*O84)</x:f>
      </x:c>
      <x:c r="W84" s="8">
        <x:f>IF(V84="","", V84-S84)</x:f>
      </x:c>
      <x:c r="X84" s="9">
        <x:f>IF(OR(W84="",N84=0),"", W84/N84)</x:f>
      </x:c>
      <x:c r="Y84" s="10">
        <x:f>IF(OR(W84="",Config!$B$2=0,Config!$B$1=0),"", W84/(Config!$B$1*Config!$B$2))</x:f>
      </x:c>
      <x:c r="Z84" s="2" t="inlineStr">
        <x:is>
          <x:t xml:space="preserve"/>
        </x:is>
      </x:c>
    </x:row>
    <x:row r="85">
      <x:c r="A85" s="2" t="n"/>
      <x:c r="B85" s="3" t="n"/>
      <x:c r="C85" s="2" t="n"/>
      <x:c r="D85" s="4" t="n"/>
      <x:c r="E85" s="2" t="n"/>
      <x:c r="F85" s="5" t="n"/>
      <x:c r="G85" s="5" t="n"/>
      <x:c r="H85" s="2" t="n"/>
      <x:c r="I85" s="6" t="n"/>
      <x:c r="J85" s="6" t="n"/>
      <x:c r="K85" s="7" t="n"/>
      <x:c r="L85" s="7" t="n"/>
      <x:c r="M85" s="7" t="n"/>
      <x:c r="N85" s="7" t="n"/>
      <x:c r="O85" s="2" t="n"/>
      <x:c r="P85" s="7" t="n"/>
      <x:c r="Q85" s="7" t="n"/>
      <x:c r="R85" s="7" t="n"/>
      <x:c r="S85" s="7" t="n"/>
      <x:c r="T85" s="2" t="n"/>
      <x:c r="U85" s="7" t="n"/>
      <x:c r="V85" s="8">
        <x:f>IF(OR(U85="",O85="",K85=""),"", (U85-K85)*O85)</x:f>
      </x:c>
      <x:c r="W85" s="8">
        <x:f>IF(V85="","", V85-S85)</x:f>
      </x:c>
      <x:c r="X85" s="9">
        <x:f>IF(OR(W85="",N85=0),"", W85/N85)</x:f>
      </x:c>
      <x:c r="Y85" s="10">
        <x:f>IF(OR(W85="",Config!$B$2=0,Config!$B$1=0),"", W85/(Config!$B$1*Config!$B$2))</x:f>
      </x:c>
      <x:c r="Z85" s="2" t="inlineStr">
        <x:is>
          <x:t xml:space="preserve"/>
        </x:is>
      </x:c>
    </x:row>
    <x:row r="86">
      <x:c r="A86" s="2" t="n"/>
      <x:c r="B86" s="3" t="n"/>
      <x:c r="C86" s="2" t="n"/>
      <x:c r="D86" s="4" t="n"/>
      <x:c r="E86" s="2" t="n"/>
      <x:c r="F86" s="5" t="n"/>
      <x:c r="G86" s="5" t="n"/>
      <x:c r="H86" s="2" t="n"/>
      <x:c r="I86" s="6" t="n"/>
      <x:c r="J86" s="6" t="n"/>
      <x:c r="K86" s="7" t="n"/>
      <x:c r="L86" s="7" t="n"/>
      <x:c r="M86" s="7" t="n"/>
      <x:c r="N86" s="7" t="n"/>
      <x:c r="O86" s="2" t="n"/>
      <x:c r="P86" s="7" t="n"/>
      <x:c r="Q86" s="7" t="n"/>
      <x:c r="R86" s="7" t="n"/>
      <x:c r="S86" s="7" t="n"/>
      <x:c r="T86" s="2" t="n"/>
      <x:c r="U86" s="7" t="n"/>
      <x:c r="V86" s="8">
        <x:f>IF(OR(U86="",O86="",K86=""),"", (U86-K86)*O86)</x:f>
      </x:c>
      <x:c r="W86" s="8">
        <x:f>IF(V86="","", V86-S86)</x:f>
      </x:c>
      <x:c r="X86" s="9">
        <x:f>IF(OR(W86="",N86=0),"", W86/N86)</x:f>
      </x:c>
      <x:c r="Y86" s="10">
        <x:f>IF(OR(W86="",Config!$B$2=0,Config!$B$1=0),"", W86/(Config!$B$1*Config!$B$2))</x:f>
      </x:c>
      <x:c r="Z86" s="2" t="inlineStr">
        <x:is>
          <x:t xml:space="preserve"/>
        </x:is>
      </x:c>
    </x:row>
    <x:row r="87">
      <x:c r="A87" s="2" t="n"/>
      <x:c r="B87" s="3" t="n"/>
      <x:c r="C87" s="2" t="n"/>
      <x:c r="D87" s="4" t="n"/>
      <x:c r="E87" s="2" t="n"/>
      <x:c r="F87" s="5" t="n"/>
      <x:c r="G87" s="5" t="n"/>
      <x:c r="H87" s="2" t="n"/>
      <x:c r="I87" s="6" t="n"/>
      <x:c r="J87" s="6" t="n"/>
      <x:c r="K87" s="7" t="n"/>
      <x:c r="L87" s="7" t="n"/>
      <x:c r="M87" s="7" t="n"/>
      <x:c r="N87" s="7" t="n"/>
      <x:c r="O87" s="2" t="n"/>
      <x:c r="P87" s="7" t="n"/>
      <x:c r="Q87" s="7" t="n"/>
      <x:c r="R87" s="7" t="n"/>
      <x:c r="S87" s="7" t="n"/>
      <x:c r="T87" s="2" t="n"/>
      <x:c r="U87" s="7" t="n"/>
      <x:c r="V87" s="8">
        <x:f>IF(OR(U87="",O87="",K87=""),"", (U87-K87)*O87)</x:f>
      </x:c>
      <x:c r="W87" s="8">
        <x:f>IF(V87="","", V87-S87)</x:f>
      </x:c>
      <x:c r="X87" s="9">
        <x:f>IF(OR(W87="",N87=0),"", W87/N87)</x:f>
      </x:c>
      <x:c r="Y87" s="10">
        <x:f>IF(OR(W87="",Config!$B$2=0,Config!$B$1=0),"", W87/(Config!$B$1*Config!$B$2))</x:f>
      </x:c>
      <x:c r="Z87" s="2" t="inlineStr">
        <x:is>
          <x:t xml:space="preserve"/>
        </x:is>
      </x:c>
    </x:row>
    <x:row r="88">
      <x:c r="A88" s="2" t="n"/>
      <x:c r="B88" s="3" t="n"/>
      <x:c r="C88" s="2" t="n"/>
      <x:c r="D88" s="4" t="n"/>
      <x:c r="E88" s="2" t="n"/>
      <x:c r="F88" s="5" t="n"/>
      <x:c r="G88" s="5" t="n"/>
      <x:c r="H88" s="2" t="n"/>
      <x:c r="I88" s="6" t="n"/>
      <x:c r="J88" s="6" t="n"/>
      <x:c r="K88" s="7" t="n"/>
      <x:c r="L88" s="7" t="n"/>
      <x:c r="M88" s="7" t="n"/>
      <x:c r="N88" s="7" t="n"/>
      <x:c r="O88" s="2" t="n"/>
      <x:c r="P88" s="7" t="n"/>
      <x:c r="Q88" s="7" t="n"/>
      <x:c r="R88" s="7" t="n"/>
      <x:c r="S88" s="7" t="n"/>
      <x:c r="T88" s="2" t="n"/>
      <x:c r="U88" s="7" t="n"/>
      <x:c r="V88" s="8">
        <x:f>IF(OR(U88="",O88="",K88=""),"", (U88-K88)*O88)</x:f>
      </x:c>
      <x:c r="W88" s="8">
        <x:f>IF(V88="","", V88-S88)</x:f>
      </x:c>
      <x:c r="X88" s="9">
        <x:f>IF(OR(W88="",N88=0),"", W88/N88)</x:f>
      </x:c>
      <x:c r="Y88" s="10">
        <x:f>IF(OR(W88="",Config!$B$2=0,Config!$B$1=0),"", W88/(Config!$B$1*Config!$B$2))</x:f>
      </x:c>
      <x:c r="Z88" s="2" t="inlineStr">
        <x:is>
          <x:t xml:space="preserve"/>
        </x:is>
      </x:c>
    </x:row>
    <x:row r="89">
      <x:c r="A89" s="2" t="n"/>
      <x:c r="B89" s="3" t="n"/>
      <x:c r="C89" s="2" t="n"/>
      <x:c r="D89" s="4" t="n"/>
      <x:c r="E89" s="2" t="n"/>
      <x:c r="F89" s="5" t="n"/>
      <x:c r="G89" s="5" t="n"/>
      <x:c r="H89" s="2" t="n"/>
      <x:c r="I89" s="6" t="n"/>
      <x:c r="J89" s="6" t="n"/>
      <x:c r="K89" s="7" t="n"/>
      <x:c r="L89" s="7" t="n"/>
      <x:c r="M89" s="7" t="n"/>
      <x:c r="N89" s="7" t="n"/>
      <x:c r="O89" s="2" t="n"/>
      <x:c r="P89" s="7" t="n"/>
      <x:c r="Q89" s="7" t="n"/>
      <x:c r="R89" s="7" t="n"/>
      <x:c r="S89" s="7" t="n"/>
      <x:c r="T89" s="2" t="n"/>
      <x:c r="U89" s="7" t="n"/>
      <x:c r="V89" s="8">
        <x:f>IF(OR(U89="",O89="",K89=""),"", (U89-K89)*O89)</x:f>
      </x:c>
      <x:c r="W89" s="8">
        <x:f>IF(V89="","", V89-S89)</x:f>
      </x:c>
      <x:c r="X89" s="9">
        <x:f>IF(OR(W89="",N89=0),"", W89/N89)</x:f>
      </x:c>
      <x:c r="Y89" s="10">
        <x:f>IF(OR(W89="",Config!$B$2=0,Config!$B$1=0),"", W89/(Config!$B$1*Config!$B$2))</x:f>
      </x:c>
      <x:c r="Z89" s="2" t="inlineStr">
        <x:is>
          <x:t xml:space="preserve"/>
        </x:is>
      </x:c>
    </x:row>
    <x:row r="90">
      <x:c r="A90" s="2" t="n"/>
      <x:c r="B90" s="3" t="n"/>
      <x:c r="C90" s="2" t="n"/>
      <x:c r="D90" s="4" t="n"/>
      <x:c r="E90" s="2" t="n"/>
      <x:c r="F90" s="5" t="n"/>
      <x:c r="G90" s="5" t="n"/>
      <x:c r="H90" s="2" t="n"/>
      <x:c r="I90" s="6" t="n"/>
      <x:c r="J90" s="6" t="n"/>
      <x:c r="K90" s="7" t="n"/>
      <x:c r="L90" s="7" t="n"/>
      <x:c r="M90" s="7" t="n"/>
      <x:c r="N90" s="7" t="n"/>
      <x:c r="O90" s="2" t="n"/>
      <x:c r="P90" s="7" t="n"/>
      <x:c r="Q90" s="7" t="n"/>
      <x:c r="R90" s="7" t="n"/>
      <x:c r="S90" s="7" t="n"/>
      <x:c r="T90" s="2" t="n"/>
      <x:c r="U90" s="7" t="n"/>
      <x:c r="V90" s="8">
        <x:f>IF(OR(U90="",O90="",K90=""),"", (U90-K90)*O90)</x:f>
      </x:c>
      <x:c r="W90" s="8">
        <x:f>IF(V90="","", V90-S90)</x:f>
      </x:c>
      <x:c r="X90" s="9">
        <x:f>IF(OR(W90="",N90=0),"", W90/N90)</x:f>
      </x:c>
      <x:c r="Y90" s="10">
        <x:f>IF(OR(W90="",Config!$B$2=0,Config!$B$1=0),"", W90/(Config!$B$1*Config!$B$2))</x:f>
      </x:c>
      <x:c r="Z90" s="2" t="inlineStr">
        <x:is>
          <x:t xml:space="preserve"/>
        </x:is>
      </x:c>
    </x:row>
    <x:row r="91">
      <x:c r="A91" s="2" t="n"/>
      <x:c r="B91" s="3" t="n"/>
      <x:c r="C91" s="2" t="n"/>
      <x:c r="D91" s="4" t="n"/>
      <x:c r="E91" s="2" t="n"/>
      <x:c r="F91" s="5" t="n"/>
      <x:c r="G91" s="5" t="n"/>
      <x:c r="H91" s="2" t="n"/>
      <x:c r="I91" s="6" t="n"/>
      <x:c r="J91" s="6" t="n"/>
      <x:c r="K91" s="7" t="n"/>
      <x:c r="L91" s="7" t="n"/>
      <x:c r="M91" s="7" t="n"/>
      <x:c r="N91" s="7" t="n"/>
      <x:c r="O91" s="2" t="n"/>
      <x:c r="P91" s="7" t="n"/>
      <x:c r="Q91" s="7" t="n"/>
      <x:c r="R91" s="7" t="n"/>
      <x:c r="S91" s="7" t="n"/>
      <x:c r="T91" s="2" t="n"/>
      <x:c r="U91" s="7" t="n"/>
      <x:c r="V91" s="8">
        <x:f>IF(OR(U91="",O91="",K91=""),"", (U91-K91)*O91)</x:f>
      </x:c>
      <x:c r="W91" s="8">
        <x:f>IF(V91="","", V91-S91)</x:f>
      </x:c>
      <x:c r="X91" s="9">
        <x:f>IF(OR(W91="",N91=0),"", W91/N91)</x:f>
      </x:c>
      <x:c r="Y91" s="10">
        <x:f>IF(OR(W91="",Config!$B$2=0,Config!$B$1=0),"", W91/(Config!$B$1*Config!$B$2))</x:f>
      </x:c>
      <x:c r="Z91" s="2" t="inlineStr">
        <x:is>
          <x:t xml:space="preserve"/>
        </x:is>
      </x:c>
    </x:row>
    <x:row r="92">
      <x:c r="A92" s="2" t="n"/>
      <x:c r="B92" s="3" t="n"/>
      <x:c r="C92" s="2" t="n"/>
      <x:c r="D92" s="4" t="n"/>
      <x:c r="E92" s="2" t="n"/>
      <x:c r="F92" s="5" t="n"/>
      <x:c r="G92" s="5" t="n"/>
      <x:c r="H92" s="2" t="n"/>
      <x:c r="I92" s="6" t="n"/>
      <x:c r="J92" s="6" t="n"/>
      <x:c r="K92" s="7" t="n"/>
      <x:c r="L92" s="7" t="n"/>
      <x:c r="M92" s="7" t="n"/>
      <x:c r="N92" s="7" t="n"/>
      <x:c r="O92" s="2" t="n"/>
      <x:c r="P92" s="7" t="n"/>
      <x:c r="Q92" s="7" t="n"/>
      <x:c r="R92" s="7" t="n"/>
      <x:c r="S92" s="7" t="n"/>
      <x:c r="T92" s="2" t="n"/>
      <x:c r="U92" s="7" t="n"/>
      <x:c r="V92" s="8">
        <x:f>IF(OR(U92="",O92="",K92=""),"", (U92-K92)*O92)</x:f>
      </x:c>
      <x:c r="W92" s="8">
        <x:f>IF(V92="","", V92-S92)</x:f>
      </x:c>
      <x:c r="X92" s="9">
        <x:f>IF(OR(W92="",N92=0),"", W92/N92)</x:f>
      </x:c>
      <x:c r="Y92" s="10">
        <x:f>IF(OR(W92="",Config!$B$2=0,Config!$B$1=0),"", W92/(Config!$B$1*Config!$B$2))</x:f>
      </x:c>
      <x:c r="Z92" s="2" t="inlineStr">
        <x:is>
          <x:t xml:space="preserve"/>
        </x:is>
      </x:c>
    </x:row>
    <x:row r="93">
      <x:c r="A93" s="2" t="n"/>
      <x:c r="B93" s="3" t="n"/>
      <x:c r="C93" s="2" t="n"/>
      <x:c r="D93" s="4" t="n"/>
      <x:c r="E93" s="2" t="n"/>
      <x:c r="F93" s="5" t="n"/>
      <x:c r="G93" s="5" t="n"/>
      <x:c r="H93" s="2" t="n"/>
      <x:c r="I93" s="6" t="n"/>
      <x:c r="J93" s="6" t="n"/>
      <x:c r="K93" s="7" t="n"/>
      <x:c r="L93" s="7" t="n"/>
      <x:c r="M93" s="7" t="n"/>
      <x:c r="N93" s="7" t="n"/>
      <x:c r="O93" s="2" t="n"/>
      <x:c r="P93" s="7" t="n"/>
      <x:c r="Q93" s="7" t="n"/>
      <x:c r="R93" s="7" t="n"/>
      <x:c r="S93" s="7" t="n"/>
      <x:c r="T93" s="2" t="n"/>
      <x:c r="U93" s="7" t="n"/>
      <x:c r="V93" s="8">
        <x:f>IF(OR(U93="",O93="",K93=""),"", (U93-K93)*O93)</x:f>
      </x:c>
      <x:c r="W93" s="8">
        <x:f>IF(V93="","", V93-S93)</x:f>
      </x:c>
      <x:c r="X93" s="9">
        <x:f>IF(OR(W93="",N93=0),"", W93/N93)</x:f>
      </x:c>
      <x:c r="Y93" s="10">
        <x:f>IF(OR(W93="",Config!$B$2=0,Config!$B$1=0),"", W93/(Config!$B$1*Config!$B$2))</x:f>
      </x:c>
      <x:c r="Z93" s="2" t="inlineStr">
        <x:is>
          <x:t xml:space="preserve"/>
        </x:is>
      </x:c>
    </x:row>
    <x:row r="94">
      <x:c r="A94" s="2" t="n"/>
      <x:c r="B94" s="3" t="n"/>
      <x:c r="C94" s="2" t="n"/>
      <x:c r="D94" s="4" t="n"/>
      <x:c r="E94" s="2" t="n"/>
      <x:c r="F94" s="5" t="n"/>
      <x:c r="G94" s="5" t="n"/>
      <x:c r="H94" s="2" t="n"/>
      <x:c r="I94" s="6" t="n"/>
      <x:c r="J94" s="6" t="n"/>
      <x:c r="K94" s="7" t="n"/>
      <x:c r="L94" s="7" t="n"/>
      <x:c r="M94" s="7" t="n"/>
      <x:c r="N94" s="7" t="n"/>
      <x:c r="O94" s="2" t="n"/>
      <x:c r="P94" s="7" t="n"/>
      <x:c r="Q94" s="7" t="n"/>
      <x:c r="R94" s="7" t="n"/>
      <x:c r="S94" s="7" t="n"/>
      <x:c r="T94" s="2" t="n"/>
      <x:c r="U94" s="7" t="n"/>
      <x:c r="V94" s="8">
        <x:f>IF(OR(U94="",O94="",K94=""),"", (U94-K94)*O94)</x:f>
      </x:c>
      <x:c r="W94" s="8">
        <x:f>IF(V94="","", V94-S94)</x:f>
      </x:c>
      <x:c r="X94" s="9">
        <x:f>IF(OR(W94="",N94=0),"", W94/N94)</x:f>
      </x:c>
      <x:c r="Y94" s="10">
        <x:f>IF(OR(W94="",Config!$B$2=0,Config!$B$1=0),"", W94/(Config!$B$1*Config!$B$2))</x:f>
      </x:c>
      <x:c r="Z94" s="2" t="inlineStr">
        <x:is>
          <x:t xml:space="preserve"/>
        </x:is>
      </x:c>
    </x:row>
    <x:row r="95">
      <x:c r="A95" s="2" t="n"/>
      <x:c r="B95" s="3" t="n"/>
      <x:c r="C95" s="2" t="n"/>
      <x:c r="D95" s="4" t="n"/>
      <x:c r="E95" s="2" t="n"/>
      <x:c r="F95" s="5" t="n"/>
      <x:c r="G95" s="5" t="n"/>
      <x:c r="H95" s="2" t="n"/>
      <x:c r="I95" s="6" t="n"/>
      <x:c r="J95" s="6" t="n"/>
      <x:c r="K95" s="7" t="n"/>
      <x:c r="L95" s="7" t="n"/>
      <x:c r="M95" s="7" t="n"/>
      <x:c r="N95" s="7" t="n"/>
      <x:c r="O95" s="2" t="n"/>
      <x:c r="P95" s="7" t="n"/>
      <x:c r="Q95" s="7" t="n"/>
      <x:c r="R95" s="7" t="n"/>
      <x:c r="S95" s="7" t="n"/>
      <x:c r="T95" s="2" t="n"/>
      <x:c r="U95" s="7" t="n"/>
      <x:c r="V95" s="8">
        <x:f>IF(OR(U95="",O95="",K95=""),"", (U95-K95)*O95)</x:f>
      </x:c>
      <x:c r="W95" s="8">
        <x:f>IF(V95="","", V95-S95)</x:f>
      </x:c>
      <x:c r="X95" s="9">
        <x:f>IF(OR(W95="",N95=0),"", W95/N95)</x:f>
      </x:c>
      <x:c r="Y95" s="10">
        <x:f>IF(OR(W95="",Config!$B$2=0,Config!$B$1=0),"", W95/(Config!$B$1*Config!$B$2))</x:f>
      </x:c>
      <x:c r="Z95" s="2" t="inlineStr">
        <x:is>
          <x:t xml:space="preserve"/>
        </x:is>
      </x:c>
    </x:row>
    <x:row r="96">
      <x:c r="A96" s="2" t="n"/>
      <x:c r="B96" s="3" t="n"/>
      <x:c r="C96" s="2" t="n"/>
      <x:c r="D96" s="4" t="n"/>
      <x:c r="E96" s="2" t="n"/>
      <x:c r="F96" s="5" t="n"/>
      <x:c r="G96" s="5" t="n"/>
      <x:c r="H96" s="2" t="n"/>
      <x:c r="I96" s="6" t="n"/>
      <x:c r="J96" s="6" t="n"/>
      <x:c r="K96" s="7" t="n"/>
      <x:c r="L96" s="7" t="n"/>
      <x:c r="M96" s="7" t="n"/>
      <x:c r="N96" s="7" t="n"/>
      <x:c r="O96" s="2" t="n"/>
      <x:c r="P96" s="7" t="n"/>
      <x:c r="Q96" s="7" t="n"/>
      <x:c r="R96" s="7" t="n"/>
      <x:c r="S96" s="7" t="n"/>
      <x:c r="T96" s="2" t="n"/>
      <x:c r="U96" s="7" t="n"/>
      <x:c r="V96" s="8">
        <x:f>IF(OR(U96="",O96="",K96=""),"", (U96-K96)*O96)</x:f>
      </x:c>
      <x:c r="W96" s="8">
        <x:f>IF(V96="","", V96-S96)</x:f>
      </x:c>
      <x:c r="X96" s="9">
        <x:f>IF(OR(W96="",N96=0),"", W96/N96)</x:f>
      </x:c>
      <x:c r="Y96" s="10">
        <x:f>IF(OR(W96="",Config!$B$2=0,Config!$B$1=0),"", W96/(Config!$B$1*Config!$B$2))</x:f>
      </x:c>
      <x:c r="Z96" s="2" t="inlineStr">
        <x:is>
          <x:t xml:space="preserve"/>
        </x:is>
      </x:c>
    </x:row>
    <x:row r="97">
      <x:c r="A97" s="2" t="n"/>
      <x:c r="B97" s="3" t="n"/>
      <x:c r="C97" s="2" t="n"/>
      <x:c r="D97" s="4" t="n"/>
      <x:c r="E97" s="2" t="n"/>
      <x:c r="F97" s="5" t="n"/>
      <x:c r="G97" s="5" t="n"/>
      <x:c r="H97" s="2" t="n"/>
      <x:c r="I97" s="6" t="n"/>
      <x:c r="J97" s="6" t="n"/>
      <x:c r="K97" s="7" t="n"/>
      <x:c r="L97" s="7" t="n"/>
      <x:c r="M97" s="7" t="n"/>
      <x:c r="N97" s="7" t="n"/>
      <x:c r="O97" s="2" t="n"/>
      <x:c r="P97" s="7" t="n"/>
      <x:c r="Q97" s="7" t="n"/>
      <x:c r="R97" s="7" t="n"/>
      <x:c r="S97" s="7" t="n"/>
      <x:c r="T97" s="2" t="n"/>
      <x:c r="U97" s="7" t="n"/>
      <x:c r="V97" s="8">
        <x:f>IF(OR(U97="",O97="",K97=""),"", (U97-K97)*O97)</x:f>
      </x:c>
      <x:c r="W97" s="8">
        <x:f>IF(V97="","", V97-S97)</x:f>
      </x:c>
      <x:c r="X97" s="9">
        <x:f>IF(OR(W97="",N97=0),"", W97/N97)</x:f>
      </x:c>
      <x:c r="Y97" s="10">
        <x:f>IF(OR(W97="",Config!$B$2=0,Config!$B$1=0),"", W97/(Config!$B$1*Config!$B$2))</x:f>
      </x:c>
      <x:c r="Z97" s="2" t="inlineStr">
        <x:is>
          <x:t xml:space="preserve"/>
        </x:is>
      </x:c>
    </x:row>
    <x:row r="98">
      <x:c r="A98" s="2" t="n"/>
      <x:c r="B98" s="3" t="n"/>
      <x:c r="C98" s="2" t="n"/>
      <x:c r="D98" s="4" t="n"/>
      <x:c r="E98" s="2" t="n"/>
      <x:c r="F98" s="5" t="n"/>
      <x:c r="G98" s="5" t="n"/>
      <x:c r="H98" s="2" t="n"/>
      <x:c r="I98" s="6" t="n"/>
      <x:c r="J98" s="6" t="n"/>
      <x:c r="K98" s="7" t="n"/>
      <x:c r="L98" s="7" t="n"/>
      <x:c r="M98" s="7" t="n"/>
      <x:c r="N98" s="7" t="n"/>
      <x:c r="O98" s="2" t="n"/>
      <x:c r="P98" s="7" t="n"/>
      <x:c r="Q98" s="7" t="n"/>
      <x:c r="R98" s="7" t="n"/>
      <x:c r="S98" s="7" t="n"/>
      <x:c r="T98" s="2" t="n"/>
      <x:c r="U98" s="7" t="n"/>
      <x:c r="V98" s="8">
        <x:f>IF(OR(U98="",O98="",K98=""),"", (U98-K98)*O98)</x:f>
      </x:c>
      <x:c r="W98" s="8">
        <x:f>IF(V98="","", V98-S98)</x:f>
      </x:c>
      <x:c r="X98" s="9">
        <x:f>IF(OR(W98="",N98=0),"", W98/N98)</x:f>
      </x:c>
      <x:c r="Y98" s="10">
        <x:f>IF(OR(W98="",Config!$B$2=0,Config!$B$1=0),"", W98/(Config!$B$1*Config!$B$2))</x:f>
      </x:c>
      <x:c r="Z98" s="2" t="inlineStr">
        <x:is>
          <x:t xml:space="preserve"/>
        </x:is>
      </x:c>
    </x:row>
    <x:row r="99">
      <x:c r="A99" s="2" t="n"/>
      <x:c r="B99" s="3" t="n"/>
      <x:c r="C99" s="2" t="n"/>
      <x:c r="D99" s="4" t="n"/>
      <x:c r="E99" s="2" t="n"/>
      <x:c r="F99" s="5" t="n"/>
      <x:c r="G99" s="5" t="n"/>
      <x:c r="H99" s="2" t="n"/>
      <x:c r="I99" s="6" t="n"/>
      <x:c r="J99" s="6" t="n"/>
      <x:c r="K99" s="7" t="n"/>
      <x:c r="L99" s="7" t="n"/>
      <x:c r="M99" s="7" t="n"/>
      <x:c r="N99" s="7" t="n"/>
      <x:c r="O99" s="2" t="n"/>
      <x:c r="P99" s="7" t="n"/>
      <x:c r="Q99" s="7" t="n"/>
      <x:c r="R99" s="7" t="n"/>
      <x:c r="S99" s="7" t="n"/>
      <x:c r="T99" s="2" t="n"/>
      <x:c r="U99" s="7" t="n"/>
      <x:c r="V99" s="8">
        <x:f>IF(OR(U99="",O99="",K99=""),"", (U99-K99)*O99)</x:f>
      </x:c>
      <x:c r="W99" s="8">
        <x:f>IF(V99="","", V99-S99)</x:f>
      </x:c>
      <x:c r="X99" s="9">
        <x:f>IF(OR(W99="",N99=0),"", W99/N99)</x:f>
      </x:c>
      <x:c r="Y99" s="10">
        <x:f>IF(OR(W99="",Config!$B$2=0,Config!$B$1=0),"", W99/(Config!$B$1*Config!$B$2))</x:f>
      </x:c>
      <x:c r="Z99" s="2" t="inlineStr">
        <x:is>
          <x:t xml:space="preserve"/>
        </x:is>
      </x:c>
    </x:row>
    <x:row r="100">
      <x:c r="A100" s="2" t="n"/>
      <x:c r="B100" s="3" t="n"/>
      <x:c r="C100" s="2" t="n"/>
      <x:c r="D100" s="4" t="n"/>
      <x:c r="E100" s="2" t="n"/>
      <x:c r="F100" s="5" t="n"/>
      <x:c r="G100" s="5" t="n"/>
      <x:c r="H100" s="2" t="n"/>
      <x:c r="I100" s="6" t="n"/>
      <x:c r="J100" s="6" t="n"/>
      <x:c r="K100" s="7" t="n"/>
      <x:c r="L100" s="7" t="n"/>
      <x:c r="M100" s="7" t="n"/>
      <x:c r="N100" s="7" t="n"/>
      <x:c r="O100" s="2" t="n"/>
      <x:c r="P100" s="7" t="n"/>
      <x:c r="Q100" s="7" t="n"/>
      <x:c r="R100" s="7" t="n"/>
      <x:c r="S100" s="7" t="n"/>
      <x:c r="T100" s="2" t="n"/>
      <x:c r="U100" s="7" t="n"/>
      <x:c r="V100" s="8">
        <x:f>IF(OR(U100="",O100="",K100=""),"", (U100-K100)*O100)</x:f>
      </x:c>
      <x:c r="W100" s="8">
        <x:f>IF(V100="","", V100-S100)</x:f>
      </x:c>
      <x:c r="X100" s="9">
        <x:f>IF(OR(W100="",N100=0),"", W100/N100)</x:f>
      </x:c>
      <x:c r="Y100" s="10">
        <x:f>IF(OR(W100="",Config!$B$2=0,Config!$B$1=0),"", W100/(Config!$B$1*Config!$B$2))</x:f>
      </x:c>
      <x:c r="Z100" s="2" t="inlineStr">
        <x:is>
          <x:t xml:space="preserve"/>
        </x:is>
      </x:c>
    </x:row>
    <x:row r="101">
      <x:c r="A101" s="2" t="n"/>
      <x:c r="B101" s="3" t="n"/>
      <x:c r="C101" s="2" t="n"/>
      <x:c r="D101" s="4" t="n"/>
      <x:c r="E101" s="2" t="n"/>
      <x:c r="F101" s="5" t="n"/>
      <x:c r="G101" s="5" t="n"/>
      <x:c r="H101" s="2" t="n"/>
      <x:c r="I101" s="6" t="n"/>
      <x:c r="J101" s="6" t="n"/>
      <x:c r="K101" s="7" t="n"/>
      <x:c r="L101" s="7" t="n"/>
      <x:c r="M101" s="7" t="n"/>
      <x:c r="N101" s="7" t="n"/>
      <x:c r="O101" s="2" t="n"/>
      <x:c r="P101" s="7" t="n"/>
      <x:c r="Q101" s="7" t="n"/>
      <x:c r="R101" s="7" t="n"/>
      <x:c r="S101" s="7" t="n"/>
      <x:c r="T101" s="2" t="n"/>
      <x:c r="U101" s="7" t="n"/>
      <x:c r="V101" s="8">
        <x:f>IF(OR(U101="",O101="",K101=""),"", (U101-K101)*O101)</x:f>
      </x:c>
      <x:c r="W101" s="8">
        <x:f>IF(V101="","", V101-S101)</x:f>
      </x:c>
      <x:c r="X101" s="9">
        <x:f>IF(OR(W101="",N101=0),"", W101/N101)</x:f>
      </x:c>
      <x:c r="Y101" s="10">
        <x:f>IF(OR(W101="",Config!$B$2=0,Config!$B$1=0),"", W101/(Config!$B$1*Config!$B$2))</x:f>
      </x:c>
      <x:c r="Z101" s="2" t="inlineStr">
        <x:is>
          <x:t xml:space="preserve"/>
        </x:is>
      </x:c>
    </x:row>
    <x:row r="102">
      <x:c r="A102" s="2" t="n"/>
      <x:c r="B102" s="3" t="n"/>
      <x:c r="C102" s="2" t="n"/>
      <x:c r="D102" s="4" t="n"/>
      <x:c r="E102" s="2" t="n"/>
      <x:c r="F102" s="5" t="n"/>
      <x:c r="G102" s="5" t="n"/>
      <x:c r="H102" s="2" t="n"/>
      <x:c r="I102" s="6" t="n"/>
      <x:c r="J102" s="6" t="n"/>
      <x:c r="K102" s="7" t="n"/>
      <x:c r="L102" s="7" t="n"/>
      <x:c r="M102" s="7" t="n"/>
      <x:c r="N102" s="7" t="n"/>
      <x:c r="O102" s="2" t="n"/>
      <x:c r="P102" s="7" t="n"/>
      <x:c r="Q102" s="7" t="n"/>
      <x:c r="R102" s="7" t="n"/>
      <x:c r="S102" s="7" t="n"/>
      <x:c r="T102" s="2" t="n"/>
      <x:c r="U102" s="7" t="n"/>
      <x:c r="V102" s="8">
        <x:f>IF(OR(U102="",O102="",K102=""),"", (U102-K102)*O102)</x:f>
      </x:c>
      <x:c r="W102" s="8">
        <x:f>IF(V102="","", V102-S102)</x:f>
      </x:c>
      <x:c r="X102" s="9">
        <x:f>IF(OR(W102="",N102=0),"", W102/N102)</x:f>
      </x:c>
      <x:c r="Y102" s="10">
        <x:f>IF(OR(W102="",Config!$B$2=0,Config!$B$1=0),"", W102/(Config!$B$1*Config!$B$2))</x:f>
      </x:c>
      <x:c r="Z102" s="2" t="inlineStr">
        <x:is>
          <x:t xml:space="preserve"/>
        </x:is>
      </x:c>
    </x:row>
    <x:row r="103">
      <x:c r="A103" s="2" t="n"/>
      <x:c r="B103" s="3" t="n"/>
      <x:c r="C103" s="2" t="n"/>
      <x:c r="D103" s="4" t="n"/>
      <x:c r="E103" s="2" t="n"/>
      <x:c r="F103" s="5" t="n"/>
      <x:c r="G103" s="5" t="n"/>
      <x:c r="H103" s="2" t="n"/>
      <x:c r="I103" s="6" t="n"/>
      <x:c r="J103" s="6" t="n"/>
      <x:c r="K103" s="7" t="n"/>
      <x:c r="L103" s="7" t="n"/>
      <x:c r="M103" s="7" t="n"/>
      <x:c r="N103" s="7" t="n"/>
      <x:c r="O103" s="2" t="n"/>
      <x:c r="P103" s="7" t="n"/>
      <x:c r="Q103" s="7" t="n"/>
      <x:c r="R103" s="7" t="n"/>
      <x:c r="S103" s="7" t="n"/>
      <x:c r="T103" s="2" t="n"/>
      <x:c r="U103" s="7" t="n"/>
      <x:c r="V103" s="8">
        <x:f>IF(OR(U103="",O103="",K103=""),"", (U103-K103)*O103)</x:f>
      </x:c>
      <x:c r="W103" s="8">
        <x:f>IF(V103="","", V103-S103)</x:f>
      </x:c>
      <x:c r="X103" s="9">
        <x:f>IF(OR(W103="",N103=0),"", W103/N103)</x:f>
      </x:c>
      <x:c r="Y103" s="10">
        <x:f>IF(OR(W103="",Config!$B$2=0,Config!$B$1=0),"", W103/(Config!$B$1*Config!$B$2))</x:f>
      </x:c>
      <x:c r="Z103" s="2" t="inlineStr">
        <x:is>
          <x:t xml:space="preserve"/>
        </x:is>
      </x:c>
    </x:row>
    <x:row r="104">
      <x:c r="A104" s="2" t="n"/>
      <x:c r="B104" s="3" t="n"/>
      <x:c r="C104" s="2" t="n"/>
      <x:c r="D104" s="4" t="n"/>
      <x:c r="E104" s="2" t="n"/>
      <x:c r="F104" s="5" t="n"/>
      <x:c r="G104" s="5" t="n"/>
      <x:c r="H104" s="2" t="n"/>
      <x:c r="I104" s="6" t="n"/>
      <x:c r="J104" s="6" t="n"/>
      <x:c r="K104" s="7" t="n"/>
      <x:c r="L104" s="7" t="n"/>
      <x:c r="M104" s="7" t="n"/>
      <x:c r="N104" s="7" t="n"/>
      <x:c r="O104" s="2" t="n"/>
      <x:c r="P104" s="7" t="n"/>
      <x:c r="Q104" s="7" t="n"/>
      <x:c r="R104" s="7" t="n"/>
      <x:c r="S104" s="7" t="n"/>
      <x:c r="T104" s="2" t="n"/>
      <x:c r="U104" s="7" t="n"/>
      <x:c r="V104" s="8">
        <x:f>IF(OR(U104="",O104="",K104=""),"", (U104-K104)*O104)</x:f>
      </x:c>
      <x:c r="W104" s="8">
        <x:f>IF(V104="","", V104-S104)</x:f>
      </x:c>
      <x:c r="X104" s="9">
        <x:f>IF(OR(W104="",N104=0),"", W104/N104)</x:f>
      </x:c>
      <x:c r="Y104" s="10">
        <x:f>IF(OR(W104="",Config!$B$2=0,Config!$B$1=0),"", W104/(Config!$B$1*Config!$B$2))</x:f>
      </x:c>
      <x:c r="Z104" s="2" t="inlineStr">
        <x:is>
          <x:t xml:space="preserve"/>
        </x:is>
      </x:c>
    </x:row>
    <x:row r="105">
      <x:c r="A105" s="2" t="n"/>
      <x:c r="B105" s="3" t="n"/>
      <x:c r="C105" s="2" t="n"/>
      <x:c r="D105" s="4" t="n"/>
      <x:c r="E105" s="2" t="n"/>
      <x:c r="F105" s="5" t="n"/>
      <x:c r="G105" s="5" t="n"/>
      <x:c r="H105" s="2" t="n"/>
      <x:c r="I105" s="6" t="n"/>
      <x:c r="J105" s="6" t="n"/>
      <x:c r="K105" s="7" t="n"/>
      <x:c r="L105" s="7" t="n"/>
      <x:c r="M105" s="7" t="n"/>
      <x:c r="N105" s="7" t="n"/>
      <x:c r="O105" s="2" t="n"/>
      <x:c r="P105" s="7" t="n"/>
      <x:c r="Q105" s="7" t="n"/>
      <x:c r="R105" s="7" t="n"/>
      <x:c r="S105" s="7" t="n"/>
      <x:c r="T105" s="2" t="n"/>
      <x:c r="U105" s="7" t="n"/>
      <x:c r="V105" s="8">
        <x:f>IF(OR(U105="",O105="",K105=""),"", (U105-K105)*O105)</x:f>
      </x:c>
      <x:c r="W105" s="8">
        <x:f>IF(V105="","", V105-S105)</x:f>
      </x:c>
      <x:c r="X105" s="9">
        <x:f>IF(OR(W105="",N105=0),"", W105/N105)</x:f>
      </x:c>
      <x:c r="Y105" s="10">
        <x:f>IF(OR(W105="",Config!$B$2=0,Config!$B$1=0),"", W105/(Config!$B$1*Config!$B$2))</x:f>
      </x:c>
      <x:c r="Z105" s="2" t="inlineStr">
        <x:is>
          <x:t xml:space="preserve"/>
        </x:is>
      </x:c>
    </x:row>
    <x:row r="106">
      <x:c r="A106" s="2" t="n"/>
      <x:c r="B106" s="3" t="n"/>
      <x:c r="C106" s="2" t="n"/>
      <x:c r="D106" s="4" t="n"/>
      <x:c r="E106" s="2" t="n"/>
      <x:c r="F106" s="5" t="n"/>
      <x:c r="G106" s="5" t="n"/>
      <x:c r="H106" s="2" t="n"/>
      <x:c r="I106" s="6" t="n"/>
      <x:c r="J106" s="6" t="n"/>
      <x:c r="K106" s="7" t="n"/>
      <x:c r="L106" s="7" t="n"/>
      <x:c r="M106" s="7" t="n"/>
      <x:c r="N106" s="7" t="n"/>
      <x:c r="O106" s="2" t="n"/>
      <x:c r="P106" s="7" t="n"/>
      <x:c r="Q106" s="7" t="n"/>
      <x:c r="R106" s="7" t="n"/>
      <x:c r="S106" s="7" t="n"/>
      <x:c r="T106" s="2" t="n"/>
      <x:c r="U106" s="7" t="n"/>
      <x:c r="V106" s="8">
        <x:f>IF(OR(U106="",O106="",K106=""),"", (U106-K106)*O106)</x:f>
      </x:c>
      <x:c r="W106" s="8">
        <x:f>IF(V106="","", V106-S106)</x:f>
      </x:c>
      <x:c r="X106" s="9">
        <x:f>IF(OR(W106="",N106=0),"", W106/N106)</x:f>
      </x:c>
      <x:c r="Y106" s="10">
        <x:f>IF(OR(W106="",Config!$B$2=0,Config!$B$1=0),"", W106/(Config!$B$1*Config!$B$2))</x:f>
      </x:c>
      <x:c r="Z106" s="2" t="inlineStr">
        <x:is>
          <x:t xml:space="preserve"/>
        </x:is>
      </x:c>
    </x:row>
    <x:row r="107">
      <x:c r="A107" s="2" t="n"/>
      <x:c r="B107" s="3" t="n"/>
      <x:c r="C107" s="2" t="n"/>
      <x:c r="D107" s="4" t="n"/>
      <x:c r="E107" s="2" t="n"/>
      <x:c r="F107" s="5" t="n"/>
      <x:c r="G107" s="5" t="n"/>
      <x:c r="H107" s="2" t="n"/>
      <x:c r="I107" s="6" t="n"/>
      <x:c r="J107" s="6" t="n"/>
      <x:c r="K107" s="7" t="n"/>
      <x:c r="L107" s="7" t="n"/>
      <x:c r="M107" s="7" t="n"/>
      <x:c r="N107" s="7" t="n"/>
      <x:c r="O107" s="2" t="n"/>
      <x:c r="P107" s="7" t="n"/>
      <x:c r="Q107" s="7" t="n"/>
      <x:c r="R107" s="7" t="n"/>
      <x:c r="S107" s="7" t="n"/>
      <x:c r="T107" s="2" t="n"/>
      <x:c r="U107" s="7" t="n"/>
      <x:c r="V107" s="8">
        <x:f>IF(OR(U107="",O107="",K107=""),"", (U107-K107)*O107)</x:f>
      </x:c>
      <x:c r="W107" s="8">
        <x:f>IF(V107="","", V107-S107)</x:f>
      </x:c>
      <x:c r="X107" s="9">
        <x:f>IF(OR(W107="",N107=0),"", W107/N107)</x:f>
      </x:c>
      <x:c r="Y107" s="10">
        <x:f>IF(OR(W107="",Config!$B$2=0,Config!$B$1=0),"", W107/(Config!$B$1*Config!$B$2))</x:f>
      </x:c>
      <x:c r="Z107" s="2" t="inlineStr">
        <x:is>
          <x:t xml:space="preserve"/>
        </x:is>
      </x:c>
    </x:row>
    <x:row r="108">
      <x:c r="A108" s="2" t="n"/>
      <x:c r="B108" s="3" t="n"/>
      <x:c r="C108" s="2" t="n"/>
      <x:c r="D108" s="4" t="n"/>
      <x:c r="E108" s="2" t="n"/>
      <x:c r="F108" s="5" t="n"/>
      <x:c r="G108" s="5" t="n"/>
      <x:c r="H108" s="2" t="n"/>
      <x:c r="I108" s="6" t="n"/>
      <x:c r="J108" s="6" t="n"/>
      <x:c r="K108" s="7" t="n"/>
      <x:c r="L108" s="7" t="n"/>
      <x:c r="M108" s="7" t="n"/>
      <x:c r="N108" s="7" t="n"/>
      <x:c r="O108" s="2" t="n"/>
      <x:c r="P108" s="7" t="n"/>
      <x:c r="Q108" s="7" t="n"/>
      <x:c r="R108" s="7" t="n"/>
      <x:c r="S108" s="7" t="n"/>
      <x:c r="T108" s="2" t="n"/>
      <x:c r="U108" s="7" t="n"/>
      <x:c r="V108" s="8">
        <x:f>IF(OR(U108="",O108="",K108=""),"", (U108-K108)*O108)</x:f>
      </x:c>
      <x:c r="W108" s="8">
        <x:f>IF(V108="","", V108-S108)</x:f>
      </x:c>
      <x:c r="X108" s="9">
        <x:f>IF(OR(W108="",N108=0),"", W108/N108)</x:f>
      </x:c>
      <x:c r="Y108" s="10">
        <x:f>IF(OR(W108="",Config!$B$2=0,Config!$B$1=0),"", W108/(Config!$B$1*Config!$B$2))</x:f>
      </x:c>
      <x:c r="Z108" s="2" t="inlineStr">
        <x:is>
          <x:t xml:space="preserve"/>
        </x:is>
      </x:c>
    </x:row>
    <x:row r="109">
      <x:c r="A109" s="2" t="n"/>
      <x:c r="B109" s="3" t="n"/>
      <x:c r="C109" s="2" t="n"/>
      <x:c r="D109" s="4" t="n"/>
      <x:c r="E109" s="2" t="n"/>
      <x:c r="F109" s="5" t="n"/>
      <x:c r="G109" s="5" t="n"/>
      <x:c r="H109" s="2" t="n"/>
      <x:c r="I109" s="6" t="n"/>
      <x:c r="J109" s="6" t="n"/>
      <x:c r="K109" s="7" t="n"/>
      <x:c r="L109" s="7" t="n"/>
      <x:c r="M109" s="7" t="n"/>
      <x:c r="N109" s="7" t="n"/>
      <x:c r="O109" s="2" t="n"/>
      <x:c r="P109" s="7" t="n"/>
      <x:c r="Q109" s="7" t="n"/>
      <x:c r="R109" s="7" t="n"/>
      <x:c r="S109" s="7" t="n"/>
      <x:c r="T109" s="2" t="n"/>
      <x:c r="U109" s="7" t="n"/>
      <x:c r="V109" s="8">
        <x:f>IF(OR(U109="",O109="",K109=""),"", (U109-K109)*O109)</x:f>
      </x:c>
      <x:c r="W109" s="8">
        <x:f>IF(V109="","", V109-S109)</x:f>
      </x:c>
      <x:c r="X109" s="9">
        <x:f>IF(OR(W109="",N109=0),"", W109/N109)</x:f>
      </x:c>
      <x:c r="Y109" s="10">
        <x:f>IF(OR(W109="",Config!$B$2=0,Config!$B$1=0),"", W109/(Config!$B$1*Config!$B$2))</x:f>
      </x:c>
      <x:c r="Z109" s="2" t="inlineStr">
        <x:is>
          <x:t xml:space="preserve"/>
        </x:is>
      </x:c>
    </x:row>
    <x:row r="110">
      <x:c r="A110" s="2" t="n"/>
      <x:c r="B110" s="3" t="n"/>
      <x:c r="C110" s="2" t="n"/>
      <x:c r="D110" s="4" t="n"/>
      <x:c r="E110" s="2" t="n"/>
      <x:c r="F110" s="5" t="n"/>
      <x:c r="G110" s="5" t="n"/>
      <x:c r="H110" s="2" t="n"/>
      <x:c r="I110" s="6" t="n"/>
      <x:c r="J110" s="6" t="n"/>
      <x:c r="K110" s="7" t="n"/>
      <x:c r="L110" s="7" t="n"/>
      <x:c r="M110" s="7" t="n"/>
      <x:c r="N110" s="7" t="n"/>
      <x:c r="O110" s="2" t="n"/>
      <x:c r="P110" s="7" t="n"/>
      <x:c r="Q110" s="7" t="n"/>
      <x:c r="R110" s="7" t="n"/>
      <x:c r="S110" s="7" t="n"/>
      <x:c r="T110" s="2" t="n"/>
      <x:c r="U110" s="7" t="n"/>
      <x:c r="V110" s="8">
        <x:f>IF(OR(U110="",O110="",K110=""),"", (U110-K110)*O110)</x:f>
      </x:c>
      <x:c r="W110" s="8">
        <x:f>IF(V110="","", V110-S110)</x:f>
      </x:c>
      <x:c r="X110" s="9">
        <x:f>IF(OR(W110="",N110=0),"", W110/N110)</x:f>
      </x:c>
      <x:c r="Y110" s="10">
        <x:f>IF(OR(W110="",Config!$B$2=0,Config!$B$1=0),"", W110/(Config!$B$1*Config!$B$2))</x:f>
      </x:c>
      <x:c r="Z110" s="2" t="inlineStr">
        <x:is>
          <x:t xml:space="preserve"/>
        </x:is>
      </x:c>
    </x:row>
    <x:row r="111">
      <x:c r="A111" s="2" t="n"/>
      <x:c r="B111" s="3" t="n"/>
      <x:c r="C111" s="2" t="n"/>
      <x:c r="D111" s="4" t="n"/>
      <x:c r="E111" s="2" t="n"/>
      <x:c r="F111" s="5" t="n"/>
      <x:c r="G111" s="5" t="n"/>
      <x:c r="H111" s="2" t="n"/>
      <x:c r="I111" s="6" t="n"/>
      <x:c r="J111" s="6" t="n"/>
      <x:c r="K111" s="7" t="n"/>
      <x:c r="L111" s="7" t="n"/>
      <x:c r="M111" s="7" t="n"/>
      <x:c r="N111" s="7" t="n"/>
      <x:c r="O111" s="2" t="n"/>
      <x:c r="P111" s="7" t="n"/>
      <x:c r="Q111" s="7" t="n"/>
      <x:c r="R111" s="7" t="n"/>
      <x:c r="S111" s="7" t="n"/>
      <x:c r="T111" s="2" t="n"/>
      <x:c r="U111" s="7" t="n"/>
      <x:c r="V111" s="8">
        <x:f>IF(OR(U111="",O111="",K111=""),"", (U111-K111)*O111)</x:f>
      </x:c>
      <x:c r="W111" s="8">
        <x:f>IF(V111="","", V111-S111)</x:f>
      </x:c>
      <x:c r="X111" s="9">
        <x:f>IF(OR(W111="",N111=0),"", W111/N111)</x:f>
      </x:c>
      <x:c r="Y111" s="10">
        <x:f>IF(OR(W111="",Config!$B$2=0,Config!$B$1=0),"", W111/(Config!$B$1*Config!$B$2))</x:f>
      </x:c>
      <x:c r="Z111" s="2" t="inlineStr">
        <x:is>
          <x:t xml:space="preserve"/>
        </x:is>
      </x:c>
    </x:row>
    <x:row r="112">
      <x:c r="A112" s="2" t="n"/>
      <x:c r="B112" s="3" t="n"/>
      <x:c r="C112" s="2" t="n"/>
      <x:c r="D112" s="4" t="n"/>
      <x:c r="E112" s="2" t="n"/>
      <x:c r="F112" s="5" t="n"/>
      <x:c r="G112" s="5" t="n"/>
      <x:c r="H112" s="2" t="n"/>
      <x:c r="I112" s="6" t="n"/>
      <x:c r="J112" s="6" t="n"/>
      <x:c r="K112" s="7" t="n"/>
      <x:c r="L112" s="7" t="n"/>
      <x:c r="M112" s="7" t="n"/>
      <x:c r="N112" s="7" t="n"/>
      <x:c r="O112" s="2" t="n"/>
      <x:c r="P112" s="7" t="n"/>
      <x:c r="Q112" s="7" t="n"/>
      <x:c r="R112" s="7" t="n"/>
      <x:c r="S112" s="7" t="n"/>
      <x:c r="T112" s="2" t="n"/>
      <x:c r="U112" s="7" t="n"/>
      <x:c r="V112" s="8">
        <x:f>IF(OR(U112="",O112="",K112=""),"", (U112-K112)*O112)</x:f>
      </x:c>
      <x:c r="W112" s="8">
        <x:f>IF(V112="","", V112-S112)</x:f>
      </x:c>
      <x:c r="X112" s="9">
        <x:f>IF(OR(W112="",N112=0),"", W112/N112)</x:f>
      </x:c>
      <x:c r="Y112" s="10">
        <x:f>IF(OR(W112="",Config!$B$2=0,Config!$B$1=0),"", W112/(Config!$B$1*Config!$B$2))</x:f>
      </x:c>
      <x:c r="Z112" s="2" t="inlineStr">
        <x:is>
          <x:t xml:space="preserve"/>
        </x:is>
      </x:c>
    </x:row>
    <x:row r="113">
      <x:c r="A113" s="2" t="n"/>
      <x:c r="B113" s="3" t="n"/>
      <x:c r="C113" s="2" t="n"/>
      <x:c r="D113" s="4" t="n"/>
      <x:c r="E113" s="2" t="n"/>
      <x:c r="F113" s="5" t="n"/>
      <x:c r="G113" s="5" t="n"/>
      <x:c r="H113" s="2" t="n"/>
      <x:c r="I113" s="6" t="n"/>
      <x:c r="J113" s="6" t="n"/>
      <x:c r="K113" s="7" t="n"/>
      <x:c r="L113" s="7" t="n"/>
      <x:c r="M113" s="7" t="n"/>
      <x:c r="N113" s="7" t="n"/>
      <x:c r="O113" s="2" t="n"/>
      <x:c r="P113" s="7" t="n"/>
      <x:c r="Q113" s="7" t="n"/>
      <x:c r="R113" s="7" t="n"/>
      <x:c r="S113" s="7" t="n"/>
      <x:c r="T113" s="2" t="n"/>
      <x:c r="U113" s="7" t="n"/>
      <x:c r="V113" s="8">
        <x:f>IF(OR(U113="",O113="",K113=""),"", (U113-K113)*O113)</x:f>
      </x:c>
      <x:c r="W113" s="8">
        <x:f>IF(V113="","", V113-S113)</x:f>
      </x:c>
      <x:c r="X113" s="9">
        <x:f>IF(OR(W113="",N113=0),"", W113/N113)</x:f>
      </x:c>
      <x:c r="Y113" s="10">
        <x:f>IF(OR(W113="",Config!$B$2=0,Config!$B$1=0),"", W113/(Config!$B$1*Config!$B$2))</x:f>
      </x:c>
      <x:c r="Z113" s="2" t="inlineStr">
        <x:is>
          <x:t xml:space="preserve"/>
        </x:is>
      </x:c>
    </x:row>
    <x:row r="114">
      <x:c r="A114" s="2" t="n"/>
      <x:c r="B114" s="3" t="n"/>
      <x:c r="C114" s="2" t="n"/>
      <x:c r="D114" s="4" t="n"/>
      <x:c r="E114" s="2" t="n"/>
      <x:c r="F114" s="5" t="n"/>
      <x:c r="G114" s="5" t="n"/>
      <x:c r="H114" s="2" t="n"/>
      <x:c r="I114" s="6" t="n"/>
      <x:c r="J114" s="6" t="n"/>
      <x:c r="K114" s="7" t="n"/>
      <x:c r="L114" s="7" t="n"/>
      <x:c r="M114" s="7" t="n"/>
      <x:c r="N114" s="7" t="n"/>
      <x:c r="O114" s="2" t="n"/>
      <x:c r="P114" s="7" t="n"/>
      <x:c r="Q114" s="7" t="n"/>
      <x:c r="R114" s="7" t="n"/>
      <x:c r="S114" s="7" t="n"/>
      <x:c r="T114" s="2" t="n"/>
      <x:c r="U114" s="7" t="n"/>
      <x:c r="V114" s="8">
        <x:f>IF(OR(U114="",O114="",K114=""),"", (U114-K114)*O114)</x:f>
      </x:c>
      <x:c r="W114" s="8">
        <x:f>IF(V114="","", V114-S114)</x:f>
      </x:c>
      <x:c r="X114" s="9">
        <x:f>IF(OR(W114="",N114=0),"", W114/N114)</x:f>
      </x:c>
      <x:c r="Y114" s="10">
        <x:f>IF(OR(W114="",Config!$B$2=0,Config!$B$1=0),"", W114/(Config!$B$1*Config!$B$2))</x:f>
      </x:c>
      <x:c r="Z114" s="2" t="inlineStr">
        <x:is>
          <x:t xml:space="preserve"/>
        </x:is>
      </x:c>
    </x:row>
    <x:row r="115">
      <x:c r="A115" s="2" t="n"/>
      <x:c r="B115" s="3" t="n"/>
      <x:c r="C115" s="2" t="n"/>
      <x:c r="D115" s="4" t="n"/>
      <x:c r="E115" s="2" t="n"/>
      <x:c r="F115" s="5" t="n"/>
      <x:c r="G115" s="5" t="n"/>
      <x:c r="H115" s="2" t="n"/>
      <x:c r="I115" s="6" t="n"/>
      <x:c r="J115" s="6" t="n"/>
      <x:c r="K115" s="7" t="n"/>
      <x:c r="L115" s="7" t="n"/>
      <x:c r="M115" s="7" t="n"/>
      <x:c r="N115" s="7" t="n"/>
      <x:c r="O115" s="2" t="n"/>
      <x:c r="P115" s="7" t="n"/>
      <x:c r="Q115" s="7" t="n"/>
      <x:c r="R115" s="7" t="n"/>
      <x:c r="S115" s="7" t="n"/>
      <x:c r="T115" s="2" t="n"/>
      <x:c r="U115" s="7" t="n"/>
      <x:c r="V115" s="8">
        <x:f>IF(OR(U115="",O115="",K115=""),"", (U115-K115)*O115)</x:f>
      </x:c>
      <x:c r="W115" s="8">
        <x:f>IF(V115="","", V115-S115)</x:f>
      </x:c>
      <x:c r="X115" s="9">
        <x:f>IF(OR(W115="",N115=0),"", W115/N115)</x:f>
      </x:c>
      <x:c r="Y115" s="10">
        <x:f>IF(OR(W115="",Config!$B$2=0,Config!$B$1=0),"", W115/(Config!$B$1*Config!$B$2))</x:f>
      </x:c>
      <x:c r="Z115" s="2" t="inlineStr">
        <x:is>
          <x:t xml:space="preserve"/>
        </x:is>
      </x:c>
    </x:row>
    <x:row r="116">
      <x:c r="A116" s="2" t="n"/>
      <x:c r="B116" s="3" t="n"/>
      <x:c r="C116" s="2" t="n"/>
      <x:c r="D116" s="4" t="n"/>
      <x:c r="E116" s="2" t="n"/>
      <x:c r="F116" s="5" t="n"/>
      <x:c r="G116" s="5" t="n"/>
      <x:c r="H116" s="2" t="n"/>
      <x:c r="I116" s="6" t="n"/>
      <x:c r="J116" s="6" t="n"/>
      <x:c r="K116" s="7" t="n"/>
      <x:c r="L116" s="7" t="n"/>
      <x:c r="M116" s="7" t="n"/>
      <x:c r="N116" s="7" t="n"/>
      <x:c r="O116" s="2" t="n"/>
      <x:c r="P116" s="7" t="n"/>
      <x:c r="Q116" s="7" t="n"/>
      <x:c r="R116" s="7" t="n"/>
      <x:c r="S116" s="7" t="n"/>
      <x:c r="T116" s="2" t="n"/>
      <x:c r="U116" s="7" t="n"/>
      <x:c r="V116" s="8">
        <x:f>IF(OR(U116="",O116="",K116=""),"", (U116-K116)*O116)</x:f>
      </x:c>
      <x:c r="W116" s="8">
        <x:f>IF(V116="","", V116-S116)</x:f>
      </x:c>
      <x:c r="X116" s="9">
        <x:f>IF(OR(W116="",N116=0),"", W116/N116)</x:f>
      </x:c>
      <x:c r="Y116" s="10">
        <x:f>IF(OR(W116="",Config!$B$2=0,Config!$B$1=0),"", W116/(Config!$B$1*Config!$B$2))</x:f>
      </x:c>
      <x:c r="Z116" s="2" t="inlineStr">
        <x:is>
          <x:t xml:space="preserve"/>
        </x:is>
      </x:c>
    </x:row>
    <x:row r="117">
      <x:c r="A117" s="2" t="n"/>
      <x:c r="B117" s="3" t="n"/>
      <x:c r="C117" s="2" t="n"/>
      <x:c r="D117" s="4" t="n"/>
      <x:c r="E117" s="2" t="n"/>
      <x:c r="F117" s="5" t="n"/>
      <x:c r="G117" s="5" t="n"/>
      <x:c r="H117" s="2" t="n"/>
      <x:c r="I117" s="6" t="n"/>
      <x:c r="J117" s="6" t="n"/>
      <x:c r="K117" s="7" t="n"/>
      <x:c r="L117" s="7" t="n"/>
      <x:c r="M117" s="7" t="n"/>
      <x:c r="N117" s="7" t="n"/>
      <x:c r="O117" s="2" t="n"/>
      <x:c r="P117" s="7" t="n"/>
      <x:c r="Q117" s="7" t="n"/>
      <x:c r="R117" s="7" t="n"/>
      <x:c r="S117" s="7" t="n"/>
      <x:c r="T117" s="2" t="n"/>
      <x:c r="U117" s="7" t="n"/>
      <x:c r="V117" s="8">
        <x:f>IF(OR(U117="",O117="",K117=""),"", (U117-K117)*O117)</x:f>
      </x:c>
      <x:c r="W117" s="8">
        <x:f>IF(V117="","", V117-S117)</x:f>
      </x:c>
      <x:c r="X117" s="9">
        <x:f>IF(OR(W117="",N117=0),"", W117/N117)</x:f>
      </x:c>
      <x:c r="Y117" s="10">
        <x:f>IF(OR(W117="",Config!$B$2=0,Config!$B$1=0),"", W117/(Config!$B$1*Config!$B$2))</x:f>
      </x:c>
      <x:c r="Z117" s="2" t="inlineStr">
        <x:is>
          <x:t xml:space="preserve"/>
        </x:is>
      </x:c>
    </x:row>
    <x:row r="118">
      <x:c r="A118" s="2" t="n"/>
      <x:c r="B118" s="3" t="n"/>
      <x:c r="C118" s="2" t="n"/>
      <x:c r="D118" s="4" t="n"/>
      <x:c r="E118" s="2" t="n"/>
      <x:c r="F118" s="5" t="n"/>
      <x:c r="G118" s="5" t="n"/>
      <x:c r="H118" s="2" t="n"/>
      <x:c r="I118" s="6" t="n"/>
      <x:c r="J118" s="6" t="n"/>
      <x:c r="K118" s="7" t="n"/>
      <x:c r="L118" s="7" t="n"/>
      <x:c r="M118" s="7" t="n"/>
      <x:c r="N118" s="7" t="n"/>
      <x:c r="O118" s="2" t="n"/>
      <x:c r="P118" s="7" t="n"/>
      <x:c r="Q118" s="7" t="n"/>
      <x:c r="R118" s="7" t="n"/>
      <x:c r="S118" s="7" t="n"/>
      <x:c r="T118" s="2" t="n"/>
      <x:c r="U118" s="7" t="n"/>
      <x:c r="V118" s="8">
        <x:f>IF(OR(U118="",O118="",K118=""),"", (U118-K118)*O118)</x:f>
      </x:c>
      <x:c r="W118" s="8">
        <x:f>IF(V118="","", V118-S118)</x:f>
      </x:c>
      <x:c r="X118" s="9">
        <x:f>IF(OR(W118="",N118=0),"", W118/N118)</x:f>
      </x:c>
      <x:c r="Y118" s="10">
        <x:f>IF(OR(W118="",Config!$B$2=0,Config!$B$1=0),"", W118/(Config!$B$1*Config!$B$2))</x:f>
      </x:c>
      <x:c r="Z118" s="2" t="inlineStr">
        <x:is>
          <x:t xml:space="preserve"/>
        </x:is>
      </x:c>
    </x:row>
    <x:row r="119">
      <x:c r="A119" s="2" t="n"/>
      <x:c r="B119" s="3" t="n"/>
      <x:c r="C119" s="2" t="n"/>
      <x:c r="D119" s="4" t="n"/>
      <x:c r="E119" s="2" t="n"/>
      <x:c r="F119" s="5" t="n"/>
      <x:c r="G119" s="5" t="n"/>
      <x:c r="H119" s="2" t="n"/>
      <x:c r="I119" s="6" t="n"/>
      <x:c r="J119" s="6" t="n"/>
      <x:c r="K119" s="7" t="n"/>
      <x:c r="L119" s="7" t="n"/>
      <x:c r="M119" s="7" t="n"/>
      <x:c r="N119" s="7" t="n"/>
      <x:c r="O119" s="2" t="n"/>
      <x:c r="P119" s="7" t="n"/>
      <x:c r="Q119" s="7" t="n"/>
      <x:c r="R119" s="7" t="n"/>
      <x:c r="S119" s="7" t="n"/>
      <x:c r="T119" s="2" t="n"/>
      <x:c r="U119" s="7" t="n"/>
      <x:c r="V119" s="8">
        <x:f>IF(OR(U119="",O119="",K119=""),"", (U119-K119)*O119)</x:f>
      </x:c>
      <x:c r="W119" s="8">
        <x:f>IF(V119="","", V119-S119)</x:f>
      </x:c>
      <x:c r="X119" s="9">
        <x:f>IF(OR(W119="",N119=0),"", W119/N119)</x:f>
      </x:c>
      <x:c r="Y119" s="10">
        <x:f>IF(OR(W119="",Config!$B$2=0,Config!$B$1=0),"", W119/(Config!$B$1*Config!$B$2))</x:f>
      </x:c>
      <x:c r="Z119" s="2" t="inlineStr">
        <x:is>
          <x:t xml:space="preserve"/>
        </x:is>
      </x:c>
    </x:row>
    <x:row r="120">
      <x:c r="A120" s="2" t="n"/>
      <x:c r="B120" s="3" t="n"/>
      <x:c r="C120" s="2" t="n"/>
      <x:c r="D120" s="4" t="n"/>
      <x:c r="E120" s="2" t="n"/>
      <x:c r="F120" s="5" t="n"/>
      <x:c r="G120" s="5" t="n"/>
      <x:c r="H120" s="2" t="n"/>
      <x:c r="I120" s="6" t="n"/>
      <x:c r="J120" s="6" t="n"/>
      <x:c r="K120" s="7" t="n"/>
      <x:c r="L120" s="7" t="n"/>
      <x:c r="M120" s="7" t="n"/>
      <x:c r="N120" s="7" t="n"/>
      <x:c r="O120" s="2" t="n"/>
      <x:c r="P120" s="7" t="n"/>
      <x:c r="Q120" s="7" t="n"/>
      <x:c r="R120" s="7" t="n"/>
      <x:c r="S120" s="7" t="n"/>
      <x:c r="T120" s="2" t="n"/>
      <x:c r="U120" s="7" t="n"/>
      <x:c r="V120" s="8">
        <x:f>IF(OR(U120="",O120="",K120=""),"", (U120-K120)*O120)</x:f>
      </x:c>
      <x:c r="W120" s="8">
        <x:f>IF(V120="","", V120-S120)</x:f>
      </x:c>
      <x:c r="X120" s="9">
        <x:f>IF(OR(W120="",N120=0),"", W120/N120)</x:f>
      </x:c>
      <x:c r="Y120" s="10">
        <x:f>IF(OR(W120="",Config!$B$2=0,Config!$B$1=0),"", W120/(Config!$B$1*Config!$B$2))</x:f>
      </x:c>
      <x:c r="Z120" s="2" t="inlineStr">
        <x:is>
          <x:t xml:space="preserve"/>
        </x:is>
      </x:c>
    </x:row>
    <x:row r="121">
      <x:c r="A121" s="2" t="n"/>
      <x:c r="B121" s="3" t="n"/>
      <x:c r="C121" s="2" t="n"/>
      <x:c r="D121" s="4" t="n"/>
      <x:c r="E121" s="2" t="n"/>
      <x:c r="F121" s="5" t="n"/>
      <x:c r="G121" s="5" t="n"/>
      <x:c r="H121" s="2" t="n"/>
      <x:c r="I121" s="6" t="n"/>
      <x:c r="J121" s="6" t="n"/>
      <x:c r="K121" s="7" t="n"/>
      <x:c r="L121" s="7" t="n"/>
      <x:c r="M121" s="7" t="n"/>
      <x:c r="N121" s="7" t="n"/>
      <x:c r="O121" s="2" t="n"/>
      <x:c r="P121" s="7" t="n"/>
      <x:c r="Q121" s="7" t="n"/>
      <x:c r="R121" s="7" t="n"/>
      <x:c r="S121" s="7" t="n"/>
      <x:c r="T121" s="2" t="n"/>
      <x:c r="U121" s="7" t="n"/>
      <x:c r="V121" s="8">
        <x:f>IF(OR(U121="",O121="",K121=""),"", (U121-K121)*O121)</x:f>
      </x:c>
      <x:c r="W121" s="8">
        <x:f>IF(V121="","", V121-S121)</x:f>
      </x:c>
      <x:c r="X121" s="9">
        <x:f>IF(OR(W121="",N121=0),"", W121/N121)</x:f>
      </x:c>
      <x:c r="Y121" s="10">
        <x:f>IF(OR(W121="",Config!$B$2=0,Config!$B$1=0),"", W121/(Config!$B$1*Config!$B$2))</x:f>
      </x:c>
      <x:c r="Z121" s="2" t="inlineStr">
        <x:is>
          <x:t xml:space="preserve"/>
        </x:is>
      </x:c>
    </x:row>
    <x:row r="122">
      <x:c r="A122" s="2" t="n"/>
      <x:c r="B122" s="3" t="n"/>
      <x:c r="C122" s="2" t="n"/>
      <x:c r="D122" s="4" t="n"/>
      <x:c r="E122" s="2" t="n"/>
      <x:c r="F122" s="5" t="n"/>
      <x:c r="G122" s="5" t="n"/>
      <x:c r="H122" s="2" t="n"/>
      <x:c r="I122" s="6" t="n"/>
      <x:c r="J122" s="6" t="n"/>
      <x:c r="K122" s="7" t="n"/>
      <x:c r="L122" s="7" t="n"/>
      <x:c r="M122" s="7" t="n"/>
      <x:c r="N122" s="7" t="n"/>
      <x:c r="O122" s="2" t="n"/>
      <x:c r="P122" s="7" t="n"/>
      <x:c r="Q122" s="7" t="n"/>
      <x:c r="R122" s="7" t="n"/>
      <x:c r="S122" s="7" t="n"/>
      <x:c r="T122" s="2" t="n"/>
      <x:c r="U122" s="7" t="n"/>
      <x:c r="V122" s="8">
        <x:f>IF(OR(U122="",O122="",K122=""),"", (U122-K122)*O122)</x:f>
      </x:c>
      <x:c r="W122" s="8">
        <x:f>IF(V122="","", V122-S122)</x:f>
      </x:c>
      <x:c r="X122" s="9">
        <x:f>IF(OR(W122="",N122=0),"", W122/N122)</x:f>
      </x:c>
      <x:c r="Y122" s="10">
        <x:f>IF(OR(W122="",Config!$B$2=0,Config!$B$1=0),"", W122/(Config!$B$1*Config!$B$2))</x:f>
      </x:c>
      <x:c r="Z122" s="2" t="inlineStr">
        <x:is>
          <x:t xml:space="preserve"/>
        </x:is>
      </x:c>
    </x:row>
    <x:row r="123">
      <x:c r="A123" s="2" t="n"/>
      <x:c r="B123" s="3" t="n"/>
      <x:c r="C123" s="2" t="n"/>
      <x:c r="D123" s="4" t="n"/>
      <x:c r="E123" s="2" t="n"/>
      <x:c r="F123" s="5" t="n"/>
      <x:c r="G123" s="5" t="n"/>
      <x:c r="H123" s="2" t="n"/>
      <x:c r="I123" s="6" t="n"/>
      <x:c r="J123" s="6" t="n"/>
      <x:c r="K123" s="7" t="n"/>
      <x:c r="L123" s="7" t="n"/>
      <x:c r="M123" s="7" t="n"/>
      <x:c r="N123" s="7" t="n"/>
      <x:c r="O123" s="2" t="n"/>
      <x:c r="P123" s="7" t="n"/>
      <x:c r="Q123" s="7" t="n"/>
      <x:c r="R123" s="7" t="n"/>
      <x:c r="S123" s="7" t="n"/>
      <x:c r="T123" s="2" t="n"/>
      <x:c r="U123" s="7" t="n"/>
      <x:c r="V123" s="8">
        <x:f>IF(OR(U123="",O123="",K123=""),"", (U123-K123)*O123)</x:f>
      </x:c>
      <x:c r="W123" s="8">
        <x:f>IF(V123="","", V123-S123)</x:f>
      </x:c>
      <x:c r="X123" s="9">
        <x:f>IF(OR(W123="",N123=0),"", W123/N123)</x:f>
      </x:c>
      <x:c r="Y123" s="10">
        <x:f>IF(OR(W123="",Config!$B$2=0,Config!$B$1=0),"", W123/(Config!$B$1*Config!$B$2))</x:f>
      </x:c>
      <x:c r="Z123" s="2" t="inlineStr">
        <x:is>
          <x:t xml:space="preserve"/>
        </x:is>
      </x:c>
    </x:row>
    <x:row r="124">
      <x:c r="A124" s="2" t="n"/>
      <x:c r="B124" s="3" t="n"/>
      <x:c r="C124" s="2" t="n"/>
      <x:c r="D124" s="4" t="n"/>
      <x:c r="E124" s="2" t="n"/>
      <x:c r="F124" s="5" t="n"/>
      <x:c r="G124" s="5" t="n"/>
      <x:c r="H124" s="2" t="n"/>
      <x:c r="I124" s="6" t="n"/>
      <x:c r="J124" s="6" t="n"/>
      <x:c r="K124" s="7" t="n"/>
      <x:c r="L124" s="7" t="n"/>
      <x:c r="M124" s="7" t="n"/>
      <x:c r="N124" s="7" t="n"/>
      <x:c r="O124" s="2" t="n"/>
      <x:c r="P124" s="7" t="n"/>
      <x:c r="Q124" s="7" t="n"/>
      <x:c r="R124" s="7" t="n"/>
      <x:c r="S124" s="7" t="n"/>
      <x:c r="T124" s="2" t="n"/>
      <x:c r="U124" s="7" t="n"/>
      <x:c r="V124" s="8">
        <x:f>IF(OR(U124="",O124="",K124=""),"", (U124-K124)*O124)</x:f>
      </x:c>
      <x:c r="W124" s="8">
        <x:f>IF(V124="","", V124-S124)</x:f>
      </x:c>
      <x:c r="X124" s="9">
        <x:f>IF(OR(W124="",N124=0),"", W124/N124)</x:f>
      </x:c>
      <x:c r="Y124" s="10">
        <x:f>IF(OR(W124="",Config!$B$2=0,Config!$B$1=0),"", W124/(Config!$B$1*Config!$B$2))</x:f>
      </x:c>
      <x:c r="Z124" s="2" t="inlineStr">
        <x:is>
          <x:t xml:space="preserve"/>
        </x:is>
      </x:c>
    </x:row>
    <x:row r="125">
      <x:c r="A125" s="2" t="n"/>
      <x:c r="B125" s="3" t="n"/>
      <x:c r="C125" s="2" t="n"/>
      <x:c r="D125" s="4" t="n"/>
      <x:c r="E125" s="2" t="n"/>
      <x:c r="F125" s="5" t="n"/>
      <x:c r="G125" s="5" t="n"/>
      <x:c r="H125" s="2" t="n"/>
      <x:c r="I125" s="6" t="n"/>
      <x:c r="J125" s="6" t="n"/>
      <x:c r="K125" s="7" t="n"/>
      <x:c r="L125" s="7" t="n"/>
      <x:c r="M125" s="7" t="n"/>
      <x:c r="N125" s="7" t="n"/>
      <x:c r="O125" s="2" t="n"/>
      <x:c r="P125" s="7" t="n"/>
      <x:c r="Q125" s="7" t="n"/>
      <x:c r="R125" s="7" t="n"/>
      <x:c r="S125" s="7" t="n"/>
      <x:c r="T125" s="2" t="n"/>
      <x:c r="U125" s="7" t="n"/>
      <x:c r="V125" s="8">
        <x:f>IF(OR(U125="",O125="",K125=""),"", (U125-K125)*O125)</x:f>
      </x:c>
      <x:c r="W125" s="8">
        <x:f>IF(V125="","", V125-S125)</x:f>
      </x:c>
      <x:c r="X125" s="9">
        <x:f>IF(OR(W125="",N125=0),"", W125/N125)</x:f>
      </x:c>
      <x:c r="Y125" s="10">
        <x:f>IF(OR(W125="",Config!$B$2=0,Config!$B$1=0),"", W125/(Config!$B$1*Config!$B$2))</x:f>
      </x:c>
      <x:c r="Z125" s="2" t="inlineStr">
        <x:is>
          <x:t xml:space="preserve"/>
        </x:is>
      </x:c>
    </x:row>
    <x:row r="126">
      <x:c r="A126" s="2" t="n"/>
      <x:c r="B126" s="3" t="n"/>
      <x:c r="C126" s="2" t="n"/>
      <x:c r="D126" s="4" t="n"/>
      <x:c r="E126" s="2" t="n"/>
      <x:c r="F126" s="5" t="n"/>
      <x:c r="G126" s="5" t="n"/>
      <x:c r="H126" s="2" t="n"/>
      <x:c r="I126" s="6" t="n"/>
      <x:c r="J126" s="6" t="n"/>
      <x:c r="K126" s="7" t="n"/>
      <x:c r="L126" s="7" t="n"/>
      <x:c r="M126" s="7" t="n"/>
      <x:c r="N126" s="7" t="n"/>
      <x:c r="O126" s="2" t="n"/>
      <x:c r="P126" s="7" t="n"/>
      <x:c r="Q126" s="7" t="n"/>
      <x:c r="R126" s="7" t="n"/>
      <x:c r="S126" s="7" t="n"/>
      <x:c r="T126" s="2" t="n"/>
      <x:c r="U126" s="7" t="n"/>
      <x:c r="V126" s="8">
        <x:f>IF(OR(U126="",O126="",K126=""),"", (U126-K126)*O126)</x:f>
      </x:c>
      <x:c r="W126" s="8">
        <x:f>IF(V126="","", V126-S126)</x:f>
      </x:c>
      <x:c r="X126" s="9">
        <x:f>IF(OR(W126="",N126=0),"", W126/N126)</x:f>
      </x:c>
      <x:c r="Y126" s="10">
        <x:f>IF(OR(W126="",Config!$B$2=0,Config!$B$1=0),"", W126/(Config!$B$1*Config!$B$2))</x:f>
      </x:c>
      <x:c r="Z126" s="2" t="inlineStr">
        <x:is>
          <x:t xml:space="preserve"/>
        </x:is>
      </x:c>
    </x:row>
    <x:row r="127">
      <x:c r="A127" s="2" t="n"/>
      <x:c r="B127" s="3" t="n"/>
      <x:c r="C127" s="2" t="n"/>
      <x:c r="D127" s="4" t="n"/>
      <x:c r="E127" s="2" t="n"/>
      <x:c r="F127" s="5" t="n"/>
      <x:c r="G127" s="5" t="n"/>
      <x:c r="H127" s="2" t="n"/>
      <x:c r="I127" s="6" t="n"/>
      <x:c r="J127" s="6" t="n"/>
      <x:c r="K127" s="7" t="n"/>
      <x:c r="L127" s="7" t="n"/>
      <x:c r="M127" s="7" t="n"/>
      <x:c r="N127" s="7" t="n"/>
      <x:c r="O127" s="2" t="n"/>
      <x:c r="P127" s="7" t="n"/>
      <x:c r="Q127" s="7" t="n"/>
      <x:c r="R127" s="7" t="n"/>
      <x:c r="S127" s="7" t="n"/>
      <x:c r="T127" s="2" t="n"/>
      <x:c r="U127" s="7" t="n"/>
      <x:c r="V127" s="8">
        <x:f>IF(OR(U127="",O127="",K127=""),"", (U127-K127)*O127)</x:f>
      </x:c>
      <x:c r="W127" s="8">
        <x:f>IF(V127="","", V127-S127)</x:f>
      </x:c>
      <x:c r="X127" s="9">
        <x:f>IF(OR(W127="",N127=0),"", W127/N127)</x:f>
      </x:c>
      <x:c r="Y127" s="10">
        <x:f>IF(OR(W127="",Config!$B$2=0,Config!$B$1=0),"", W127/(Config!$B$1*Config!$B$2))</x:f>
      </x:c>
      <x:c r="Z127" s="2" t="inlineStr">
        <x:is>
          <x:t xml:space="preserve"/>
        </x:is>
      </x:c>
    </x:row>
    <x:row r="128">
      <x:c r="A128" s="2" t="n"/>
      <x:c r="B128" s="3" t="n"/>
      <x:c r="C128" s="2" t="n"/>
      <x:c r="D128" s="4" t="n"/>
      <x:c r="E128" s="2" t="n"/>
      <x:c r="F128" s="5" t="n"/>
      <x:c r="G128" s="5" t="n"/>
      <x:c r="H128" s="2" t="n"/>
      <x:c r="I128" s="6" t="n"/>
      <x:c r="J128" s="6" t="n"/>
      <x:c r="K128" s="7" t="n"/>
      <x:c r="L128" s="7" t="n"/>
      <x:c r="M128" s="7" t="n"/>
      <x:c r="N128" s="7" t="n"/>
      <x:c r="O128" s="2" t="n"/>
      <x:c r="P128" s="7" t="n"/>
      <x:c r="Q128" s="7" t="n"/>
      <x:c r="R128" s="7" t="n"/>
      <x:c r="S128" s="7" t="n"/>
      <x:c r="T128" s="2" t="n"/>
      <x:c r="U128" s="7" t="n"/>
      <x:c r="V128" s="8">
        <x:f>IF(OR(U128="",O128="",K128=""),"", (U128-K128)*O128)</x:f>
      </x:c>
      <x:c r="W128" s="8">
        <x:f>IF(V128="","", V128-S128)</x:f>
      </x:c>
      <x:c r="X128" s="9">
        <x:f>IF(OR(W128="",N128=0),"", W128/N128)</x:f>
      </x:c>
      <x:c r="Y128" s="10">
        <x:f>IF(OR(W128="",Config!$B$2=0,Config!$B$1=0),"", W128/(Config!$B$1*Config!$B$2))</x:f>
      </x:c>
      <x:c r="Z128" s="2" t="inlineStr">
        <x:is>
          <x:t xml:space="preserve"/>
        </x:is>
      </x:c>
    </x:row>
    <x:row r="129">
      <x:c r="A129" s="2" t="n"/>
      <x:c r="B129" s="3" t="n"/>
      <x:c r="C129" s="2" t="n"/>
      <x:c r="D129" s="4" t="n"/>
      <x:c r="E129" s="2" t="n"/>
      <x:c r="F129" s="5" t="n"/>
      <x:c r="G129" s="5" t="n"/>
      <x:c r="H129" s="2" t="n"/>
      <x:c r="I129" s="6" t="n"/>
      <x:c r="J129" s="6" t="n"/>
      <x:c r="K129" s="7" t="n"/>
      <x:c r="L129" s="7" t="n"/>
      <x:c r="M129" s="7" t="n"/>
      <x:c r="N129" s="7" t="n"/>
      <x:c r="O129" s="2" t="n"/>
      <x:c r="P129" s="7" t="n"/>
      <x:c r="Q129" s="7" t="n"/>
      <x:c r="R129" s="7" t="n"/>
      <x:c r="S129" s="7" t="n"/>
      <x:c r="T129" s="2" t="n"/>
      <x:c r="U129" s="7" t="n"/>
      <x:c r="V129" s="8">
        <x:f>IF(OR(U129="",O129="",K129=""),"", (U129-K129)*O129)</x:f>
      </x:c>
      <x:c r="W129" s="8">
        <x:f>IF(V129="","", V129-S129)</x:f>
      </x:c>
      <x:c r="X129" s="9">
        <x:f>IF(OR(W129="",N129=0),"", W129/N129)</x:f>
      </x:c>
      <x:c r="Y129" s="10">
        <x:f>IF(OR(W129="",Config!$B$2=0,Config!$B$1=0),"", W129/(Config!$B$1*Config!$B$2))</x:f>
      </x:c>
      <x:c r="Z129" s="2" t="inlineStr">
        <x:is>
          <x:t xml:space="preserve"/>
        </x:is>
      </x:c>
    </x:row>
    <x:row r="130">
      <x:c r="A130" s="2" t="n"/>
      <x:c r="B130" s="3" t="n"/>
      <x:c r="C130" s="2" t="n"/>
      <x:c r="D130" s="4" t="n"/>
      <x:c r="E130" s="2" t="n"/>
      <x:c r="F130" s="5" t="n"/>
      <x:c r="G130" s="5" t="n"/>
      <x:c r="H130" s="2" t="n"/>
      <x:c r="I130" s="6" t="n"/>
      <x:c r="J130" s="6" t="n"/>
      <x:c r="K130" s="7" t="n"/>
      <x:c r="L130" s="7" t="n"/>
      <x:c r="M130" s="7" t="n"/>
      <x:c r="N130" s="7" t="n"/>
      <x:c r="O130" s="2" t="n"/>
      <x:c r="P130" s="7" t="n"/>
      <x:c r="Q130" s="7" t="n"/>
      <x:c r="R130" s="7" t="n"/>
      <x:c r="S130" s="7" t="n"/>
      <x:c r="T130" s="2" t="n"/>
      <x:c r="U130" s="7" t="n"/>
      <x:c r="V130" s="8">
        <x:f>IF(OR(U130="",O130="",K130=""),"", (U130-K130)*O130)</x:f>
      </x:c>
      <x:c r="W130" s="8">
        <x:f>IF(V130="","", V130-S130)</x:f>
      </x:c>
      <x:c r="X130" s="9">
        <x:f>IF(OR(W130="",N130=0),"", W130/N130)</x:f>
      </x:c>
      <x:c r="Y130" s="10">
        <x:f>IF(OR(W130="",Config!$B$2=0,Config!$B$1=0),"", W130/(Config!$B$1*Config!$B$2))</x:f>
      </x:c>
      <x:c r="Z130" s="2" t="inlineStr">
        <x:is>
          <x:t xml:space="preserve"/>
        </x:is>
      </x:c>
    </x:row>
    <x:row r="131">
      <x:c r="A131" s="2" t="n"/>
      <x:c r="B131" s="3" t="n"/>
      <x:c r="C131" s="2" t="n"/>
      <x:c r="D131" s="4" t="n"/>
      <x:c r="E131" s="2" t="n"/>
      <x:c r="F131" s="5" t="n"/>
      <x:c r="G131" s="5" t="n"/>
      <x:c r="H131" s="2" t="n"/>
      <x:c r="I131" s="6" t="n"/>
      <x:c r="J131" s="6" t="n"/>
      <x:c r="K131" s="7" t="n"/>
      <x:c r="L131" s="7" t="n"/>
      <x:c r="M131" s="7" t="n"/>
      <x:c r="N131" s="7" t="n"/>
      <x:c r="O131" s="2" t="n"/>
      <x:c r="P131" s="7" t="n"/>
      <x:c r="Q131" s="7" t="n"/>
      <x:c r="R131" s="7" t="n"/>
      <x:c r="S131" s="7" t="n"/>
      <x:c r="T131" s="2" t="n"/>
      <x:c r="U131" s="7" t="n"/>
      <x:c r="V131" s="8">
        <x:f>IF(OR(U131="",O131="",K131=""),"", (U131-K131)*O131)</x:f>
      </x:c>
      <x:c r="W131" s="8">
        <x:f>IF(V131="","", V131-S131)</x:f>
      </x:c>
      <x:c r="X131" s="9">
        <x:f>IF(OR(W131="",N131=0),"", W131/N131)</x:f>
      </x:c>
      <x:c r="Y131" s="10">
        <x:f>IF(OR(W131="",Config!$B$2=0,Config!$B$1=0),"", W131/(Config!$B$1*Config!$B$2))</x:f>
      </x:c>
      <x:c r="Z131" s="2" t="inlineStr">
        <x:is>
          <x:t xml:space="preserve"/>
        </x:is>
      </x:c>
    </x:row>
    <x:row r="132">
      <x:c r="A132" s="2" t="n"/>
      <x:c r="B132" s="3" t="n"/>
      <x:c r="C132" s="2" t="n"/>
      <x:c r="D132" s="4" t="n"/>
      <x:c r="E132" s="2" t="n"/>
      <x:c r="F132" s="5" t="n"/>
      <x:c r="G132" s="5" t="n"/>
      <x:c r="H132" s="2" t="n"/>
      <x:c r="I132" s="6" t="n"/>
      <x:c r="J132" s="6" t="n"/>
      <x:c r="K132" s="7" t="n"/>
      <x:c r="L132" s="7" t="n"/>
      <x:c r="M132" s="7" t="n"/>
      <x:c r="N132" s="7" t="n"/>
      <x:c r="O132" s="2" t="n"/>
      <x:c r="P132" s="7" t="n"/>
      <x:c r="Q132" s="7" t="n"/>
      <x:c r="R132" s="7" t="n"/>
      <x:c r="S132" s="7" t="n"/>
      <x:c r="T132" s="2" t="n"/>
      <x:c r="U132" s="7" t="n"/>
      <x:c r="V132" s="8">
        <x:f>IF(OR(U132="",O132="",K132=""),"", (U132-K132)*O132)</x:f>
      </x:c>
      <x:c r="W132" s="8">
        <x:f>IF(V132="","", V132-S132)</x:f>
      </x:c>
      <x:c r="X132" s="9">
        <x:f>IF(OR(W132="",N132=0),"", W132/N132)</x:f>
      </x:c>
      <x:c r="Y132" s="10">
        <x:f>IF(OR(W132="",Config!$B$2=0,Config!$B$1=0),"", W132/(Config!$B$1*Config!$B$2))</x:f>
      </x:c>
      <x:c r="Z132" s="2" t="inlineStr">
        <x:is>
          <x:t xml:space="preserve"/>
        </x:is>
      </x:c>
    </x:row>
    <x:row r="133">
      <x:c r="A133" s="2" t="n"/>
      <x:c r="B133" s="3" t="n"/>
      <x:c r="C133" s="2" t="n"/>
      <x:c r="D133" s="4" t="n"/>
      <x:c r="E133" s="2" t="n"/>
      <x:c r="F133" s="5" t="n"/>
      <x:c r="G133" s="5" t="n"/>
      <x:c r="H133" s="2" t="n"/>
      <x:c r="I133" s="6" t="n"/>
      <x:c r="J133" s="6" t="n"/>
      <x:c r="K133" s="7" t="n"/>
      <x:c r="L133" s="7" t="n"/>
      <x:c r="M133" s="7" t="n"/>
      <x:c r="N133" s="7" t="n"/>
      <x:c r="O133" s="2" t="n"/>
      <x:c r="P133" s="7" t="n"/>
      <x:c r="Q133" s="7" t="n"/>
      <x:c r="R133" s="7" t="n"/>
      <x:c r="S133" s="7" t="n"/>
      <x:c r="T133" s="2" t="n"/>
      <x:c r="U133" s="7" t="n"/>
      <x:c r="V133" s="8">
        <x:f>IF(OR(U133="",O133="",K133=""),"", (U133-K133)*O133)</x:f>
      </x:c>
      <x:c r="W133" s="8">
        <x:f>IF(V133="","", V133-S133)</x:f>
      </x:c>
      <x:c r="X133" s="9">
        <x:f>IF(OR(W133="",N133=0),"", W133/N133)</x:f>
      </x:c>
      <x:c r="Y133" s="10">
        <x:f>IF(OR(W133="",Config!$B$2=0,Config!$B$1=0),"", W133/(Config!$B$1*Config!$B$2))</x:f>
      </x:c>
      <x:c r="Z133" s="2" t="inlineStr">
        <x:is>
          <x:t xml:space="preserve"/>
        </x:is>
      </x:c>
    </x:row>
    <x:row r="134">
      <x:c r="A134" s="2" t="n"/>
      <x:c r="B134" s="3" t="n"/>
      <x:c r="C134" s="2" t="n"/>
      <x:c r="D134" s="4" t="n"/>
      <x:c r="E134" s="2" t="n"/>
      <x:c r="F134" s="5" t="n"/>
      <x:c r="G134" s="5" t="n"/>
      <x:c r="H134" s="2" t="n"/>
      <x:c r="I134" s="6" t="n"/>
      <x:c r="J134" s="6" t="n"/>
      <x:c r="K134" s="7" t="n"/>
      <x:c r="L134" s="7" t="n"/>
      <x:c r="M134" s="7" t="n"/>
      <x:c r="N134" s="7" t="n"/>
      <x:c r="O134" s="2" t="n"/>
      <x:c r="P134" s="7" t="n"/>
      <x:c r="Q134" s="7" t="n"/>
      <x:c r="R134" s="7" t="n"/>
      <x:c r="S134" s="7" t="n"/>
      <x:c r="T134" s="2" t="n"/>
      <x:c r="U134" s="7" t="n"/>
      <x:c r="V134" s="8">
        <x:f>IF(OR(U134="",O134="",K134=""),"", (U134-K134)*O134)</x:f>
      </x:c>
      <x:c r="W134" s="8">
        <x:f>IF(V134="","", V134-S134)</x:f>
      </x:c>
      <x:c r="X134" s="9">
        <x:f>IF(OR(W134="",N134=0),"", W134/N134)</x:f>
      </x:c>
      <x:c r="Y134" s="10">
        <x:f>IF(OR(W134="",Config!$B$2=0,Config!$B$1=0),"", W134/(Config!$B$1*Config!$B$2))</x:f>
      </x:c>
      <x:c r="Z134" s="2" t="inlineStr">
        <x:is>
          <x:t xml:space="preserve"/>
        </x:is>
      </x:c>
    </x:row>
    <x:row r="135">
      <x:c r="A135" s="2" t="n"/>
      <x:c r="B135" s="3" t="n"/>
      <x:c r="C135" s="2" t="n"/>
      <x:c r="D135" s="4" t="n"/>
      <x:c r="E135" s="2" t="n"/>
      <x:c r="F135" s="5" t="n"/>
      <x:c r="G135" s="5" t="n"/>
      <x:c r="H135" s="2" t="n"/>
      <x:c r="I135" s="6" t="n"/>
      <x:c r="J135" s="6" t="n"/>
      <x:c r="K135" s="7" t="n"/>
      <x:c r="L135" s="7" t="n"/>
      <x:c r="M135" s="7" t="n"/>
      <x:c r="N135" s="7" t="n"/>
      <x:c r="O135" s="2" t="n"/>
      <x:c r="P135" s="7" t="n"/>
      <x:c r="Q135" s="7" t="n"/>
      <x:c r="R135" s="7" t="n"/>
      <x:c r="S135" s="7" t="n"/>
      <x:c r="T135" s="2" t="n"/>
      <x:c r="U135" s="7" t="n"/>
      <x:c r="V135" s="8">
        <x:f>IF(OR(U135="",O135="",K135=""),"", (U135-K135)*O135)</x:f>
      </x:c>
      <x:c r="W135" s="8">
        <x:f>IF(V135="","", V135-S135)</x:f>
      </x:c>
      <x:c r="X135" s="9">
        <x:f>IF(OR(W135="",N135=0),"", W135/N135)</x:f>
      </x:c>
      <x:c r="Y135" s="10">
        <x:f>IF(OR(W135="",Config!$B$2=0,Config!$B$1=0),"", W135/(Config!$B$1*Config!$B$2))</x:f>
      </x:c>
      <x:c r="Z135" s="2" t="inlineStr">
        <x:is>
          <x:t xml:space="preserve"/>
        </x:is>
      </x:c>
    </x:row>
    <x:row r="136">
      <x:c r="A136" s="2" t="n"/>
      <x:c r="B136" s="3" t="n"/>
      <x:c r="C136" s="2" t="n"/>
      <x:c r="D136" s="4" t="n"/>
      <x:c r="E136" s="2" t="n"/>
      <x:c r="F136" s="5" t="n"/>
      <x:c r="G136" s="5" t="n"/>
      <x:c r="H136" s="2" t="n"/>
      <x:c r="I136" s="6" t="n"/>
      <x:c r="J136" s="6" t="n"/>
      <x:c r="K136" s="7" t="n"/>
      <x:c r="L136" s="7" t="n"/>
      <x:c r="M136" s="7" t="n"/>
      <x:c r="N136" s="7" t="n"/>
      <x:c r="O136" s="2" t="n"/>
      <x:c r="P136" s="7" t="n"/>
      <x:c r="Q136" s="7" t="n"/>
      <x:c r="R136" s="7" t="n"/>
      <x:c r="S136" s="7" t="n"/>
      <x:c r="T136" s="2" t="n"/>
      <x:c r="U136" s="7" t="n"/>
      <x:c r="V136" s="8">
        <x:f>IF(OR(U136="",O136="",K136=""),"", (U136-K136)*O136)</x:f>
      </x:c>
      <x:c r="W136" s="8">
        <x:f>IF(V136="","", V136-S136)</x:f>
      </x:c>
      <x:c r="X136" s="9">
        <x:f>IF(OR(W136="",N136=0),"", W136/N136)</x:f>
      </x:c>
      <x:c r="Y136" s="10">
        <x:f>IF(OR(W136="",Config!$B$2=0,Config!$B$1=0),"", W136/(Config!$B$1*Config!$B$2))</x:f>
      </x:c>
      <x:c r="Z136" s="2" t="inlineStr">
        <x:is>
          <x:t xml:space="preserve"/>
        </x:is>
      </x:c>
    </x:row>
    <x:row r="137">
      <x:c r="A137" s="2" t="n"/>
      <x:c r="B137" s="3" t="n"/>
      <x:c r="C137" s="2" t="n"/>
      <x:c r="D137" s="4" t="n"/>
      <x:c r="E137" s="2" t="n"/>
      <x:c r="F137" s="5" t="n"/>
      <x:c r="G137" s="5" t="n"/>
      <x:c r="H137" s="2" t="n"/>
      <x:c r="I137" s="6" t="n"/>
      <x:c r="J137" s="6" t="n"/>
      <x:c r="K137" s="7" t="n"/>
      <x:c r="L137" s="7" t="n"/>
      <x:c r="M137" s="7" t="n"/>
      <x:c r="N137" s="7" t="n"/>
      <x:c r="O137" s="2" t="n"/>
      <x:c r="P137" s="7" t="n"/>
      <x:c r="Q137" s="7" t="n"/>
      <x:c r="R137" s="7" t="n"/>
      <x:c r="S137" s="7" t="n"/>
      <x:c r="T137" s="2" t="n"/>
      <x:c r="U137" s="7" t="n"/>
      <x:c r="V137" s="8">
        <x:f>IF(OR(U137="",O137="",K137=""),"", (U137-K137)*O137)</x:f>
      </x:c>
      <x:c r="W137" s="8">
        <x:f>IF(V137="","", V137-S137)</x:f>
      </x:c>
      <x:c r="X137" s="9">
        <x:f>IF(OR(W137="",N137=0),"", W137/N137)</x:f>
      </x:c>
      <x:c r="Y137" s="10">
        <x:f>IF(OR(W137="",Config!$B$2=0,Config!$B$1=0),"", W137/(Config!$B$1*Config!$B$2))</x:f>
      </x:c>
      <x:c r="Z137" s="2" t="inlineStr">
        <x:is>
          <x:t xml:space="preserve"/>
        </x:is>
      </x:c>
    </x:row>
    <x:row r="138">
      <x:c r="A138" s="2" t="n"/>
      <x:c r="B138" s="3" t="n"/>
      <x:c r="C138" s="2" t="n"/>
      <x:c r="D138" s="4" t="n"/>
      <x:c r="E138" s="2" t="n"/>
      <x:c r="F138" s="5" t="n"/>
      <x:c r="G138" s="5" t="n"/>
      <x:c r="H138" s="2" t="n"/>
      <x:c r="I138" s="6" t="n"/>
      <x:c r="J138" s="6" t="n"/>
      <x:c r="K138" s="7" t="n"/>
      <x:c r="L138" s="7" t="n"/>
      <x:c r="M138" s="7" t="n"/>
      <x:c r="N138" s="7" t="n"/>
      <x:c r="O138" s="2" t="n"/>
      <x:c r="P138" s="7" t="n"/>
      <x:c r="Q138" s="7" t="n"/>
      <x:c r="R138" s="7" t="n"/>
      <x:c r="S138" s="7" t="n"/>
      <x:c r="T138" s="2" t="n"/>
      <x:c r="U138" s="7" t="n"/>
      <x:c r="V138" s="8">
        <x:f>IF(OR(U138="",O138="",K138=""),"", (U138-K138)*O138)</x:f>
      </x:c>
      <x:c r="W138" s="8">
        <x:f>IF(V138="","", V138-S138)</x:f>
      </x:c>
      <x:c r="X138" s="9">
        <x:f>IF(OR(W138="",N138=0),"", W138/N138)</x:f>
      </x:c>
      <x:c r="Y138" s="10">
        <x:f>IF(OR(W138="",Config!$B$2=0,Config!$B$1=0),"", W138/(Config!$B$1*Config!$B$2))</x:f>
      </x:c>
      <x:c r="Z138" s="2" t="inlineStr">
        <x:is>
          <x:t xml:space="preserve"/>
        </x:is>
      </x:c>
    </x:row>
    <x:row r="139">
      <x:c r="A139" s="2" t="n"/>
      <x:c r="B139" s="3" t="n"/>
      <x:c r="C139" s="2" t="n"/>
      <x:c r="D139" s="4" t="n"/>
      <x:c r="E139" s="2" t="n"/>
      <x:c r="F139" s="5" t="n"/>
      <x:c r="G139" s="5" t="n"/>
      <x:c r="H139" s="2" t="n"/>
      <x:c r="I139" s="6" t="n"/>
      <x:c r="J139" s="6" t="n"/>
      <x:c r="K139" s="7" t="n"/>
      <x:c r="L139" s="7" t="n"/>
      <x:c r="M139" s="7" t="n"/>
      <x:c r="N139" s="7" t="n"/>
      <x:c r="O139" s="2" t="n"/>
      <x:c r="P139" s="7" t="n"/>
      <x:c r="Q139" s="7" t="n"/>
      <x:c r="R139" s="7" t="n"/>
      <x:c r="S139" s="7" t="n"/>
      <x:c r="T139" s="2" t="n"/>
      <x:c r="U139" s="7" t="n"/>
      <x:c r="V139" s="8">
        <x:f>IF(OR(U139="",O139="",K139=""),"", (U139-K139)*O139)</x:f>
      </x:c>
      <x:c r="W139" s="8">
        <x:f>IF(V139="","", V139-S139)</x:f>
      </x:c>
      <x:c r="X139" s="9">
        <x:f>IF(OR(W139="",N139=0),"", W139/N139)</x:f>
      </x:c>
      <x:c r="Y139" s="10">
        <x:f>IF(OR(W139="",Config!$B$2=0,Config!$B$1=0),"", W139/(Config!$B$1*Config!$B$2))</x:f>
      </x:c>
      <x:c r="Z139" s="2" t="inlineStr">
        <x:is>
          <x:t xml:space="preserve"/>
        </x:is>
      </x:c>
    </x:row>
    <x:row r="140">
      <x:c r="A140" s="2" t="n"/>
      <x:c r="B140" s="3" t="n"/>
      <x:c r="C140" s="2" t="n"/>
      <x:c r="D140" s="4" t="n"/>
      <x:c r="E140" s="2" t="n"/>
      <x:c r="F140" s="5" t="n"/>
      <x:c r="G140" s="5" t="n"/>
      <x:c r="H140" s="2" t="n"/>
      <x:c r="I140" s="6" t="n"/>
      <x:c r="J140" s="6" t="n"/>
      <x:c r="K140" s="7" t="n"/>
      <x:c r="L140" s="7" t="n"/>
      <x:c r="M140" s="7" t="n"/>
      <x:c r="N140" s="7" t="n"/>
      <x:c r="O140" s="2" t="n"/>
      <x:c r="P140" s="7" t="n"/>
      <x:c r="Q140" s="7" t="n"/>
      <x:c r="R140" s="7" t="n"/>
      <x:c r="S140" s="7" t="n"/>
      <x:c r="T140" s="2" t="n"/>
      <x:c r="U140" s="7" t="n"/>
      <x:c r="V140" s="8">
        <x:f>IF(OR(U140="",O140="",K140=""),"", (U140-K140)*O140)</x:f>
      </x:c>
      <x:c r="W140" s="8">
        <x:f>IF(V140="","", V140-S140)</x:f>
      </x:c>
      <x:c r="X140" s="9">
        <x:f>IF(OR(W140="",N140=0),"", W140/N140)</x:f>
      </x:c>
      <x:c r="Y140" s="10">
        <x:f>IF(OR(W140="",Config!$B$2=0,Config!$B$1=0),"", W140/(Config!$B$1*Config!$B$2))</x:f>
      </x:c>
      <x:c r="Z140" s="2" t="inlineStr">
        <x:is>
          <x:t xml:space="preserve"/>
        </x:is>
      </x:c>
    </x:row>
    <x:row r="141">
      <x:c r="A141" s="2" t="n"/>
      <x:c r="B141" s="3" t="n"/>
      <x:c r="C141" s="2" t="n"/>
      <x:c r="D141" s="4" t="n"/>
      <x:c r="E141" s="2" t="n"/>
      <x:c r="F141" s="5" t="n"/>
      <x:c r="G141" s="5" t="n"/>
      <x:c r="H141" s="2" t="n"/>
      <x:c r="I141" s="6" t="n"/>
      <x:c r="J141" s="6" t="n"/>
      <x:c r="K141" s="7" t="n"/>
      <x:c r="L141" s="7" t="n"/>
      <x:c r="M141" s="7" t="n"/>
      <x:c r="N141" s="7" t="n"/>
      <x:c r="O141" s="2" t="n"/>
      <x:c r="P141" s="7" t="n"/>
      <x:c r="Q141" s="7" t="n"/>
      <x:c r="R141" s="7" t="n"/>
      <x:c r="S141" s="7" t="n"/>
      <x:c r="T141" s="2" t="n"/>
      <x:c r="U141" s="7" t="n"/>
      <x:c r="V141" s="8">
        <x:f>IF(OR(U141="",O141="",K141=""),"", (U141-K141)*O141)</x:f>
      </x:c>
      <x:c r="W141" s="8">
        <x:f>IF(V141="","", V141-S141)</x:f>
      </x:c>
      <x:c r="X141" s="9">
        <x:f>IF(OR(W141="",N141=0),"", W141/N141)</x:f>
      </x:c>
      <x:c r="Y141" s="10">
        <x:f>IF(OR(W141="",Config!$B$2=0,Config!$B$1=0),"", W141/(Config!$B$1*Config!$B$2))</x:f>
      </x:c>
      <x:c r="Z141" s="2" t="inlineStr">
        <x:is>
          <x:t xml:space="preserve"/>
        </x:is>
      </x:c>
    </x:row>
    <x:row r="142">
      <x:c r="A142" s="2" t="n"/>
      <x:c r="B142" s="3" t="n"/>
      <x:c r="C142" s="2" t="n"/>
      <x:c r="D142" s="4" t="n"/>
      <x:c r="E142" s="2" t="n"/>
      <x:c r="F142" s="5" t="n"/>
      <x:c r="G142" s="5" t="n"/>
      <x:c r="H142" s="2" t="n"/>
      <x:c r="I142" s="6" t="n"/>
      <x:c r="J142" s="6" t="n"/>
      <x:c r="K142" s="7" t="n"/>
      <x:c r="L142" s="7" t="n"/>
      <x:c r="M142" s="7" t="n"/>
      <x:c r="N142" s="7" t="n"/>
      <x:c r="O142" s="2" t="n"/>
      <x:c r="P142" s="7" t="n"/>
      <x:c r="Q142" s="7" t="n"/>
      <x:c r="R142" s="7" t="n"/>
      <x:c r="S142" s="7" t="n"/>
      <x:c r="T142" s="2" t="n"/>
      <x:c r="U142" s="7" t="n"/>
      <x:c r="V142" s="8">
        <x:f>IF(OR(U142="",O142="",K142=""),"", (U142-K142)*O142)</x:f>
      </x:c>
      <x:c r="W142" s="8">
        <x:f>IF(V142="","", V142-S142)</x:f>
      </x:c>
      <x:c r="X142" s="9">
        <x:f>IF(OR(W142="",N142=0),"", W142/N142)</x:f>
      </x:c>
      <x:c r="Y142" s="10">
        <x:f>IF(OR(W142="",Config!$B$2=0,Config!$B$1=0),"", W142/(Config!$B$1*Config!$B$2))</x:f>
      </x:c>
      <x:c r="Z142" s="2" t="inlineStr">
        <x:is>
          <x:t xml:space="preserve"/>
        </x:is>
      </x:c>
    </x:row>
    <x:row r="143">
      <x:c r="A143" s="2" t="n"/>
      <x:c r="B143" s="3" t="n"/>
      <x:c r="C143" s="2" t="n"/>
      <x:c r="D143" s="4" t="n"/>
      <x:c r="E143" s="2" t="n"/>
      <x:c r="F143" s="5" t="n"/>
      <x:c r="G143" s="5" t="n"/>
      <x:c r="H143" s="2" t="n"/>
      <x:c r="I143" s="6" t="n"/>
      <x:c r="J143" s="6" t="n"/>
      <x:c r="K143" s="7" t="n"/>
      <x:c r="L143" s="7" t="n"/>
      <x:c r="M143" s="7" t="n"/>
      <x:c r="N143" s="7" t="n"/>
      <x:c r="O143" s="2" t="n"/>
      <x:c r="P143" s="7" t="n"/>
      <x:c r="Q143" s="7" t="n"/>
      <x:c r="R143" s="7" t="n"/>
      <x:c r="S143" s="7" t="n"/>
      <x:c r="T143" s="2" t="n"/>
      <x:c r="U143" s="7" t="n"/>
      <x:c r="V143" s="8">
        <x:f>IF(OR(U143="",O143="",K143=""),"", (U143-K143)*O143)</x:f>
      </x:c>
      <x:c r="W143" s="8">
        <x:f>IF(V143="","", V143-S143)</x:f>
      </x:c>
      <x:c r="X143" s="9">
        <x:f>IF(OR(W143="",N143=0),"", W143/N143)</x:f>
      </x:c>
      <x:c r="Y143" s="10">
        <x:f>IF(OR(W143="",Config!$B$2=0,Config!$B$1=0),"", W143/(Config!$B$1*Config!$B$2))</x:f>
      </x:c>
      <x:c r="Z143" s="2" t="inlineStr">
        <x:is>
          <x:t xml:space="preserve"/>
        </x:is>
      </x:c>
    </x:row>
    <x:row r="144">
      <x:c r="A144" s="2" t="n"/>
      <x:c r="B144" s="3" t="n"/>
      <x:c r="C144" s="2" t="n"/>
      <x:c r="D144" s="4" t="n"/>
      <x:c r="E144" s="2" t="n"/>
      <x:c r="F144" s="5" t="n"/>
      <x:c r="G144" s="5" t="n"/>
      <x:c r="H144" s="2" t="n"/>
      <x:c r="I144" s="6" t="n"/>
      <x:c r="J144" s="6" t="n"/>
      <x:c r="K144" s="7" t="n"/>
      <x:c r="L144" s="7" t="n"/>
      <x:c r="M144" s="7" t="n"/>
      <x:c r="N144" s="7" t="n"/>
      <x:c r="O144" s="2" t="n"/>
      <x:c r="P144" s="7" t="n"/>
      <x:c r="Q144" s="7" t="n"/>
      <x:c r="R144" s="7" t="n"/>
      <x:c r="S144" s="7" t="n"/>
      <x:c r="T144" s="2" t="n"/>
      <x:c r="U144" s="7" t="n"/>
      <x:c r="V144" s="8">
        <x:f>IF(OR(U144="",O144="",K144=""),"", (U144-K144)*O144)</x:f>
      </x:c>
      <x:c r="W144" s="8">
        <x:f>IF(V144="","", V144-S144)</x:f>
      </x:c>
      <x:c r="X144" s="9">
        <x:f>IF(OR(W144="",N144=0),"", W144/N144)</x:f>
      </x:c>
      <x:c r="Y144" s="10">
        <x:f>IF(OR(W144="",Config!$B$2=0,Config!$B$1=0),"", W144/(Config!$B$1*Config!$B$2))</x:f>
      </x:c>
      <x:c r="Z144" s="2" t="inlineStr">
        <x:is>
          <x:t xml:space="preserve"/>
        </x:is>
      </x:c>
    </x:row>
    <x:row r="145">
      <x:c r="A145" s="2" t="n"/>
      <x:c r="B145" s="3" t="n"/>
      <x:c r="C145" s="2" t="n"/>
      <x:c r="D145" s="4" t="n"/>
      <x:c r="E145" s="2" t="n"/>
      <x:c r="F145" s="5" t="n"/>
      <x:c r="G145" s="5" t="n"/>
      <x:c r="H145" s="2" t="n"/>
      <x:c r="I145" s="6" t="n"/>
      <x:c r="J145" s="6" t="n"/>
      <x:c r="K145" s="7" t="n"/>
      <x:c r="L145" s="7" t="n"/>
      <x:c r="M145" s="7" t="n"/>
      <x:c r="N145" s="7" t="n"/>
      <x:c r="O145" s="2" t="n"/>
      <x:c r="P145" s="7" t="n"/>
      <x:c r="Q145" s="7" t="n"/>
      <x:c r="R145" s="7" t="n"/>
      <x:c r="S145" s="7" t="n"/>
      <x:c r="T145" s="2" t="n"/>
      <x:c r="U145" s="7" t="n"/>
      <x:c r="V145" s="8">
        <x:f>IF(OR(U145="",O145="",K145=""),"", (U145-K145)*O145)</x:f>
      </x:c>
      <x:c r="W145" s="8">
        <x:f>IF(V145="","", V145-S145)</x:f>
      </x:c>
      <x:c r="X145" s="9">
        <x:f>IF(OR(W145="",N145=0),"", W145/N145)</x:f>
      </x:c>
      <x:c r="Y145" s="10">
        <x:f>IF(OR(W145="",Config!$B$2=0,Config!$B$1=0),"", W145/(Config!$B$1*Config!$B$2))</x:f>
      </x:c>
      <x:c r="Z145" s="2" t="inlineStr">
        <x:is>
          <x:t xml:space="preserve"/>
        </x:is>
      </x:c>
    </x:row>
    <x:row r="146">
      <x:c r="A146" s="2" t="n"/>
      <x:c r="B146" s="3" t="n"/>
      <x:c r="C146" s="2" t="n"/>
      <x:c r="D146" s="4" t="n"/>
      <x:c r="E146" s="2" t="n"/>
      <x:c r="F146" s="5" t="n"/>
      <x:c r="G146" s="5" t="n"/>
      <x:c r="H146" s="2" t="n"/>
      <x:c r="I146" s="6" t="n"/>
      <x:c r="J146" s="6" t="n"/>
      <x:c r="K146" s="7" t="n"/>
      <x:c r="L146" s="7" t="n"/>
      <x:c r="M146" s="7" t="n"/>
      <x:c r="N146" s="7" t="n"/>
      <x:c r="O146" s="2" t="n"/>
      <x:c r="P146" s="7" t="n"/>
      <x:c r="Q146" s="7" t="n"/>
      <x:c r="R146" s="7" t="n"/>
      <x:c r="S146" s="7" t="n"/>
      <x:c r="T146" s="2" t="n"/>
      <x:c r="U146" s="7" t="n"/>
      <x:c r="V146" s="8">
        <x:f>IF(OR(U146="",O146="",K146=""),"", (U146-K146)*O146)</x:f>
      </x:c>
      <x:c r="W146" s="8">
        <x:f>IF(V146="","", V146-S146)</x:f>
      </x:c>
      <x:c r="X146" s="9">
        <x:f>IF(OR(W146="",N146=0),"", W146/N146)</x:f>
      </x:c>
      <x:c r="Y146" s="10">
        <x:f>IF(OR(W146="",Config!$B$2=0,Config!$B$1=0),"", W146/(Config!$B$1*Config!$B$2))</x:f>
      </x:c>
      <x:c r="Z146" s="2" t="inlineStr">
        <x:is>
          <x:t xml:space="preserve"/>
        </x:is>
      </x:c>
    </x:row>
    <x:row r="147">
      <x:c r="A147" s="2" t="n"/>
      <x:c r="B147" s="3" t="n"/>
      <x:c r="C147" s="2" t="n"/>
      <x:c r="D147" s="4" t="n"/>
      <x:c r="E147" s="2" t="n"/>
      <x:c r="F147" s="5" t="n"/>
      <x:c r="G147" s="5" t="n"/>
      <x:c r="H147" s="2" t="n"/>
      <x:c r="I147" s="6" t="n"/>
      <x:c r="J147" s="6" t="n"/>
      <x:c r="K147" s="7" t="n"/>
      <x:c r="L147" s="7" t="n"/>
      <x:c r="M147" s="7" t="n"/>
      <x:c r="N147" s="7" t="n"/>
      <x:c r="O147" s="2" t="n"/>
      <x:c r="P147" s="7" t="n"/>
      <x:c r="Q147" s="7" t="n"/>
      <x:c r="R147" s="7" t="n"/>
      <x:c r="S147" s="7" t="n"/>
      <x:c r="T147" s="2" t="n"/>
      <x:c r="U147" s="7" t="n"/>
      <x:c r="V147" s="8">
        <x:f>IF(OR(U147="",O147="",K147=""),"", (U147-K147)*O147)</x:f>
      </x:c>
      <x:c r="W147" s="8">
        <x:f>IF(V147="","", V147-S147)</x:f>
      </x:c>
      <x:c r="X147" s="9">
        <x:f>IF(OR(W147="",N147=0),"", W147/N147)</x:f>
      </x:c>
      <x:c r="Y147" s="10">
        <x:f>IF(OR(W147="",Config!$B$2=0,Config!$B$1=0),"", W147/(Config!$B$1*Config!$B$2))</x:f>
      </x:c>
      <x:c r="Z147" s="2" t="inlineStr">
        <x:is>
          <x:t xml:space="preserve"/>
        </x:is>
      </x:c>
    </x:row>
    <x:row r="148">
      <x:c r="A148" s="2" t="n"/>
      <x:c r="B148" s="3" t="n"/>
      <x:c r="C148" s="2" t="n"/>
      <x:c r="D148" s="4" t="n"/>
      <x:c r="E148" s="2" t="n"/>
      <x:c r="F148" s="5" t="n"/>
      <x:c r="G148" s="5" t="n"/>
      <x:c r="H148" s="2" t="n"/>
      <x:c r="I148" s="6" t="n"/>
      <x:c r="J148" s="6" t="n"/>
      <x:c r="K148" s="7" t="n"/>
      <x:c r="L148" s="7" t="n"/>
      <x:c r="M148" s="7" t="n"/>
      <x:c r="N148" s="7" t="n"/>
      <x:c r="O148" s="2" t="n"/>
      <x:c r="P148" s="7" t="n"/>
      <x:c r="Q148" s="7" t="n"/>
      <x:c r="R148" s="7" t="n"/>
      <x:c r="S148" s="7" t="n"/>
      <x:c r="T148" s="2" t="n"/>
      <x:c r="U148" s="7" t="n"/>
      <x:c r="V148" s="8">
        <x:f>IF(OR(U148="",O148="",K148=""),"", (U148-K148)*O148)</x:f>
      </x:c>
      <x:c r="W148" s="8">
        <x:f>IF(V148="","", V148-S148)</x:f>
      </x:c>
      <x:c r="X148" s="9">
        <x:f>IF(OR(W148="",N148=0),"", W148/N148)</x:f>
      </x:c>
      <x:c r="Y148" s="10">
        <x:f>IF(OR(W148="",Config!$B$2=0,Config!$B$1=0),"", W148/(Config!$B$1*Config!$B$2))</x:f>
      </x:c>
      <x:c r="Z148" s="2" t="inlineStr">
        <x:is>
          <x:t xml:space="preserve"/>
        </x:is>
      </x:c>
    </x:row>
    <x:row r="149">
      <x:c r="A149" s="2" t="n"/>
      <x:c r="B149" s="3" t="n"/>
      <x:c r="C149" s="2" t="n"/>
      <x:c r="D149" s="4" t="n"/>
      <x:c r="E149" s="2" t="n"/>
      <x:c r="F149" s="5" t="n"/>
      <x:c r="G149" s="5" t="n"/>
      <x:c r="H149" s="2" t="n"/>
      <x:c r="I149" s="6" t="n"/>
      <x:c r="J149" s="6" t="n"/>
      <x:c r="K149" s="7" t="n"/>
      <x:c r="L149" s="7" t="n"/>
      <x:c r="M149" s="7" t="n"/>
      <x:c r="N149" s="7" t="n"/>
      <x:c r="O149" s="2" t="n"/>
      <x:c r="P149" s="7" t="n"/>
      <x:c r="Q149" s="7" t="n"/>
      <x:c r="R149" s="7" t="n"/>
      <x:c r="S149" s="7" t="n"/>
      <x:c r="T149" s="2" t="n"/>
      <x:c r="U149" s="7" t="n"/>
      <x:c r="V149" s="8">
        <x:f>IF(OR(U149="",O149="",K149=""),"", (U149-K149)*O149)</x:f>
      </x:c>
      <x:c r="W149" s="8">
        <x:f>IF(V149="","", V149-S149)</x:f>
      </x:c>
      <x:c r="X149" s="9">
        <x:f>IF(OR(W149="",N149=0),"", W149/N149)</x:f>
      </x:c>
      <x:c r="Y149" s="10">
        <x:f>IF(OR(W149="",Config!$B$2=0,Config!$B$1=0),"", W149/(Config!$B$1*Config!$B$2))</x:f>
      </x:c>
      <x:c r="Z149" s="2" t="inlineStr">
        <x:is>
          <x:t xml:space="preserve"/>
        </x:is>
      </x:c>
    </x:row>
    <x:row r="150">
      <x:c r="A150" s="2" t="n"/>
      <x:c r="B150" s="3" t="n"/>
      <x:c r="C150" s="2" t="n"/>
      <x:c r="D150" s="4" t="n"/>
      <x:c r="E150" s="2" t="n"/>
      <x:c r="F150" s="5" t="n"/>
      <x:c r="G150" s="5" t="n"/>
      <x:c r="H150" s="2" t="n"/>
      <x:c r="I150" s="6" t="n"/>
      <x:c r="J150" s="6" t="n"/>
      <x:c r="K150" s="7" t="n"/>
      <x:c r="L150" s="7" t="n"/>
      <x:c r="M150" s="7" t="n"/>
      <x:c r="N150" s="7" t="n"/>
      <x:c r="O150" s="2" t="n"/>
      <x:c r="P150" s="7" t="n"/>
      <x:c r="Q150" s="7" t="n"/>
      <x:c r="R150" s="7" t="n"/>
      <x:c r="S150" s="7" t="n"/>
      <x:c r="T150" s="2" t="n"/>
      <x:c r="U150" s="7" t="n"/>
      <x:c r="V150" s="8">
        <x:f>IF(OR(U150="",O150="",K150=""),"", (U150-K150)*O150)</x:f>
      </x:c>
      <x:c r="W150" s="8">
        <x:f>IF(V150="","", V150-S150)</x:f>
      </x:c>
      <x:c r="X150" s="9">
        <x:f>IF(OR(W150="",N150=0),"", W150/N150)</x:f>
      </x:c>
      <x:c r="Y150" s="10">
        <x:f>IF(OR(W150="",Config!$B$2=0,Config!$B$1=0),"", W150/(Config!$B$1*Config!$B$2))</x:f>
      </x:c>
      <x:c r="Z150" s="2" t="inlineStr">
        <x:is>
          <x:t xml:space="preserve"/>
        </x:is>
      </x:c>
    </x:row>
    <x:row r="151">
      <x:c r="A151" s="2" t="n"/>
      <x:c r="B151" s="3" t="n"/>
      <x:c r="C151" s="2" t="n"/>
      <x:c r="D151" s="4" t="n"/>
      <x:c r="E151" s="2" t="n"/>
      <x:c r="F151" s="5" t="n"/>
      <x:c r="G151" s="5" t="n"/>
      <x:c r="H151" s="2" t="n"/>
      <x:c r="I151" s="6" t="n"/>
      <x:c r="J151" s="6" t="n"/>
      <x:c r="K151" s="7" t="n"/>
      <x:c r="L151" s="7" t="n"/>
      <x:c r="M151" s="7" t="n"/>
      <x:c r="N151" s="7" t="n"/>
      <x:c r="O151" s="2" t="n"/>
      <x:c r="P151" s="7" t="n"/>
      <x:c r="Q151" s="7" t="n"/>
      <x:c r="R151" s="7" t="n"/>
      <x:c r="S151" s="7" t="n"/>
      <x:c r="T151" s="2" t="n"/>
      <x:c r="U151" s="7" t="n"/>
      <x:c r="V151" s="8">
        <x:f>IF(OR(U151="",O151="",K151=""),"", (U151-K151)*O151)</x:f>
      </x:c>
      <x:c r="W151" s="8">
        <x:f>IF(V151="","", V151-S151)</x:f>
      </x:c>
      <x:c r="X151" s="9">
        <x:f>IF(OR(W151="",N151=0),"", W151/N151)</x:f>
      </x:c>
      <x:c r="Y151" s="10">
        <x:f>IF(OR(W151="",Config!$B$2=0,Config!$B$1=0),"", W151/(Config!$B$1*Config!$B$2))</x:f>
      </x:c>
      <x:c r="Z151" s="2" t="inlineStr">
        <x:is>
          <x:t xml:space="preserve"/>
        </x:is>
      </x:c>
    </x:row>
    <x:row r="152">
      <x:c r="A152" s="2" t="n"/>
      <x:c r="B152" s="3" t="n"/>
      <x:c r="C152" s="2" t="n"/>
      <x:c r="D152" s="4" t="n"/>
      <x:c r="E152" s="2" t="n"/>
      <x:c r="F152" s="5" t="n"/>
      <x:c r="G152" s="5" t="n"/>
      <x:c r="H152" s="2" t="n"/>
      <x:c r="I152" s="6" t="n"/>
      <x:c r="J152" s="6" t="n"/>
      <x:c r="K152" s="7" t="n"/>
      <x:c r="L152" s="7" t="n"/>
      <x:c r="M152" s="7" t="n"/>
      <x:c r="N152" s="7" t="n"/>
      <x:c r="O152" s="2" t="n"/>
      <x:c r="P152" s="7" t="n"/>
      <x:c r="Q152" s="7" t="n"/>
      <x:c r="R152" s="7" t="n"/>
      <x:c r="S152" s="7" t="n"/>
      <x:c r="T152" s="2" t="n"/>
      <x:c r="U152" s="7" t="n"/>
      <x:c r="V152" s="8">
        <x:f>IF(OR(U152="",O152="",K152=""),"", (U152-K152)*O152)</x:f>
      </x:c>
      <x:c r="W152" s="8">
        <x:f>IF(V152="","", V152-S152)</x:f>
      </x:c>
      <x:c r="X152" s="9">
        <x:f>IF(OR(W152="",N152=0),"", W152/N152)</x:f>
      </x:c>
      <x:c r="Y152" s="10">
        <x:f>IF(OR(W152="",Config!$B$2=0,Config!$B$1=0),"", W152/(Config!$B$1*Config!$B$2))</x:f>
      </x:c>
      <x:c r="Z152" s="2" t="inlineStr">
        <x:is>
          <x:t xml:space="preserve"/>
        </x:is>
      </x:c>
    </x:row>
    <x:row r="153">
      <x:c r="A153" s="2" t="n"/>
      <x:c r="B153" s="3" t="n"/>
      <x:c r="C153" s="2" t="n"/>
      <x:c r="D153" s="4" t="n"/>
      <x:c r="E153" s="2" t="n"/>
      <x:c r="F153" s="5" t="n"/>
      <x:c r="G153" s="5" t="n"/>
      <x:c r="H153" s="2" t="n"/>
      <x:c r="I153" s="6" t="n"/>
      <x:c r="J153" s="6" t="n"/>
      <x:c r="K153" s="7" t="n"/>
      <x:c r="L153" s="7" t="n"/>
      <x:c r="M153" s="7" t="n"/>
      <x:c r="N153" s="7" t="n"/>
      <x:c r="O153" s="2" t="n"/>
      <x:c r="P153" s="7" t="n"/>
      <x:c r="Q153" s="7" t="n"/>
      <x:c r="R153" s="7" t="n"/>
      <x:c r="S153" s="7" t="n"/>
      <x:c r="T153" s="2" t="n"/>
      <x:c r="U153" s="7" t="n"/>
      <x:c r="V153" s="8">
        <x:f>IF(OR(U153="",O153="",K153=""),"", (U153-K153)*O153)</x:f>
      </x:c>
      <x:c r="W153" s="8">
        <x:f>IF(V153="","", V153-S153)</x:f>
      </x:c>
      <x:c r="X153" s="9">
        <x:f>IF(OR(W153="",N153=0),"", W153/N153)</x:f>
      </x:c>
      <x:c r="Y153" s="10">
        <x:f>IF(OR(W153="",Config!$B$2=0,Config!$B$1=0),"", W153/(Config!$B$1*Config!$B$2))</x:f>
      </x:c>
      <x:c r="Z153" s="2" t="inlineStr">
        <x:is>
          <x:t xml:space="preserve"/>
        </x:is>
      </x:c>
    </x:row>
    <x:row r="154">
      <x:c r="A154" s="2" t="n"/>
      <x:c r="B154" s="3" t="n"/>
      <x:c r="C154" s="2" t="n"/>
      <x:c r="D154" s="4" t="n"/>
      <x:c r="E154" s="2" t="n"/>
      <x:c r="F154" s="5" t="n"/>
      <x:c r="G154" s="5" t="n"/>
      <x:c r="H154" s="2" t="n"/>
      <x:c r="I154" s="6" t="n"/>
      <x:c r="J154" s="6" t="n"/>
      <x:c r="K154" s="7" t="n"/>
      <x:c r="L154" s="7" t="n"/>
      <x:c r="M154" s="7" t="n"/>
      <x:c r="N154" s="7" t="n"/>
      <x:c r="O154" s="2" t="n"/>
      <x:c r="P154" s="7" t="n"/>
      <x:c r="Q154" s="7" t="n"/>
      <x:c r="R154" s="7" t="n"/>
      <x:c r="S154" s="7" t="n"/>
      <x:c r="T154" s="2" t="n"/>
      <x:c r="U154" s="7" t="n"/>
      <x:c r="V154" s="8">
        <x:f>IF(OR(U154="",O154="",K154=""),"", (U154-K154)*O154)</x:f>
      </x:c>
      <x:c r="W154" s="8">
        <x:f>IF(V154="","", V154-S154)</x:f>
      </x:c>
      <x:c r="X154" s="9">
        <x:f>IF(OR(W154="",N154=0),"", W154/N154)</x:f>
      </x:c>
      <x:c r="Y154" s="10">
        <x:f>IF(OR(W154="",Config!$B$2=0,Config!$B$1=0),"", W154/(Config!$B$1*Config!$B$2))</x:f>
      </x:c>
      <x:c r="Z154" s="2" t="inlineStr">
        <x:is>
          <x:t xml:space="preserve"/>
        </x:is>
      </x:c>
    </x:row>
    <x:row r="155">
      <x:c r="A155" s="2" t="n"/>
      <x:c r="B155" s="3" t="n"/>
      <x:c r="C155" s="2" t="n"/>
      <x:c r="D155" s="4" t="n"/>
      <x:c r="E155" s="2" t="n"/>
      <x:c r="F155" s="5" t="n"/>
      <x:c r="G155" s="5" t="n"/>
      <x:c r="H155" s="2" t="n"/>
      <x:c r="I155" s="6" t="n"/>
      <x:c r="J155" s="6" t="n"/>
      <x:c r="K155" s="7" t="n"/>
      <x:c r="L155" s="7" t="n"/>
      <x:c r="M155" s="7" t="n"/>
      <x:c r="N155" s="7" t="n"/>
      <x:c r="O155" s="2" t="n"/>
      <x:c r="P155" s="7" t="n"/>
      <x:c r="Q155" s="7" t="n"/>
      <x:c r="R155" s="7" t="n"/>
      <x:c r="S155" s="7" t="n"/>
      <x:c r="T155" s="2" t="n"/>
      <x:c r="U155" s="7" t="n"/>
      <x:c r="V155" s="8">
        <x:f>IF(OR(U155="",O155="",K155=""),"", (U155-K155)*O155)</x:f>
      </x:c>
      <x:c r="W155" s="8">
        <x:f>IF(V155="","", V155-S155)</x:f>
      </x:c>
      <x:c r="X155" s="9">
        <x:f>IF(OR(W155="",N155=0),"", W155/N155)</x:f>
      </x:c>
      <x:c r="Y155" s="10">
        <x:f>IF(OR(W155="",Config!$B$2=0,Config!$B$1=0),"", W155/(Config!$B$1*Config!$B$2))</x:f>
      </x:c>
      <x:c r="Z155" s="2" t="inlineStr">
        <x:is>
          <x:t xml:space="preserve"/>
        </x:is>
      </x:c>
    </x:row>
    <x:row r="156">
      <x:c r="A156" s="2" t="n"/>
      <x:c r="B156" s="3" t="n"/>
      <x:c r="C156" s="2" t="n"/>
      <x:c r="D156" s="4" t="n"/>
      <x:c r="E156" s="2" t="n"/>
      <x:c r="F156" s="5" t="n"/>
      <x:c r="G156" s="5" t="n"/>
      <x:c r="H156" s="2" t="n"/>
      <x:c r="I156" s="6" t="n"/>
      <x:c r="J156" s="6" t="n"/>
      <x:c r="K156" s="7" t="n"/>
      <x:c r="L156" s="7" t="n"/>
      <x:c r="M156" s="7" t="n"/>
      <x:c r="N156" s="7" t="n"/>
      <x:c r="O156" s="2" t="n"/>
      <x:c r="P156" s="7" t="n"/>
      <x:c r="Q156" s="7" t="n"/>
      <x:c r="R156" s="7" t="n"/>
      <x:c r="S156" s="7" t="n"/>
      <x:c r="T156" s="2" t="n"/>
      <x:c r="U156" s="7" t="n"/>
      <x:c r="V156" s="8">
        <x:f>IF(OR(U156="",O156="",K156=""),"", (U156-K156)*O156)</x:f>
      </x:c>
      <x:c r="W156" s="8">
        <x:f>IF(V156="","", V156-S156)</x:f>
      </x:c>
      <x:c r="X156" s="9">
        <x:f>IF(OR(W156="",N156=0),"", W156/N156)</x:f>
      </x:c>
      <x:c r="Y156" s="10">
        <x:f>IF(OR(W156="",Config!$B$2=0,Config!$B$1=0),"", W156/(Config!$B$1*Config!$B$2))</x:f>
      </x:c>
      <x:c r="Z156" s="2" t="inlineStr">
        <x:is>
          <x:t xml:space="preserve"/>
        </x:is>
      </x:c>
    </x:row>
    <x:row r="157">
      <x:c r="A157" s="2" t="n"/>
      <x:c r="B157" s="3" t="n"/>
      <x:c r="C157" s="2" t="n"/>
      <x:c r="D157" s="4" t="n"/>
      <x:c r="E157" s="2" t="n"/>
      <x:c r="F157" s="5" t="n"/>
      <x:c r="G157" s="5" t="n"/>
      <x:c r="H157" s="2" t="n"/>
      <x:c r="I157" s="6" t="n"/>
      <x:c r="J157" s="6" t="n"/>
      <x:c r="K157" s="7" t="n"/>
      <x:c r="L157" s="7" t="n"/>
      <x:c r="M157" s="7" t="n"/>
      <x:c r="N157" s="7" t="n"/>
      <x:c r="O157" s="2" t="n"/>
      <x:c r="P157" s="7" t="n"/>
      <x:c r="Q157" s="7" t="n"/>
      <x:c r="R157" s="7" t="n"/>
      <x:c r="S157" s="7" t="n"/>
      <x:c r="T157" s="2" t="n"/>
      <x:c r="U157" s="7" t="n"/>
      <x:c r="V157" s="8">
        <x:f>IF(OR(U157="",O157="",K157=""),"", (U157-K157)*O157)</x:f>
      </x:c>
      <x:c r="W157" s="8">
        <x:f>IF(V157="","", V157-S157)</x:f>
      </x:c>
      <x:c r="X157" s="9">
        <x:f>IF(OR(W157="",N157=0),"", W157/N157)</x:f>
      </x:c>
      <x:c r="Y157" s="10">
        <x:f>IF(OR(W157="",Config!$B$2=0,Config!$B$1=0),"", W157/(Config!$B$1*Config!$B$2))</x:f>
      </x:c>
      <x:c r="Z157" s="2" t="inlineStr">
        <x:is>
          <x:t xml:space="preserve"/>
        </x:is>
      </x:c>
    </x:row>
    <x:row r="158">
      <x:c r="A158" s="2" t="n"/>
      <x:c r="B158" s="3" t="n"/>
      <x:c r="C158" s="2" t="n"/>
      <x:c r="D158" s="4" t="n"/>
      <x:c r="E158" s="2" t="n"/>
      <x:c r="F158" s="5" t="n"/>
      <x:c r="G158" s="5" t="n"/>
      <x:c r="H158" s="2" t="n"/>
      <x:c r="I158" s="6" t="n"/>
      <x:c r="J158" s="6" t="n"/>
      <x:c r="K158" s="7" t="n"/>
      <x:c r="L158" s="7" t="n"/>
      <x:c r="M158" s="7" t="n"/>
      <x:c r="N158" s="7" t="n"/>
      <x:c r="O158" s="2" t="n"/>
      <x:c r="P158" s="7" t="n"/>
      <x:c r="Q158" s="7" t="n"/>
      <x:c r="R158" s="7" t="n"/>
      <x:c r="S158" s="7" t="n"/>
      <x:c r="T158" s="2" t="n"/>
      <x:c r="U158" s="7" t="n"/>
      <x:c r="V158" s="8">
        <x:f>IF(OR(U158="",O158="",K158=""),"", (U158-K158)*O158)</x:f>
      </x:c>
      <x:c r="W158" s="8">
        <x:f>IF(V158="","", V158-S158)</x:f>
      </x:c>
      <x:c r="X158" s="9">
        <x:f>IF(OR(W158="",N158=0),"", W158/N158)</x:f>
      </x:c>
      <x:c r="Y158" s="10">
        <x:f>IF(OR(W158="",Config!$B$2=0,Config!$B$1=0),"", W158/(Config!$B$1*Config!$B$2))</x:f>
      </x:c>
      <x:c r="Z158" s="2" t="inlineStr">
        <x:is>
          <x:t xml:space="preserve"/>
        </x:is>
      </x:c>
    </x:row>
    <x:row r="159">
      <x:c r="A159" s="2" t="n"/>
      <x:c r="B159" s="3" t="n"/>
      <x:c r="C159" s="2" t="n"/>
      <x:c r="D159" s="4" t="n"/>
      <x:c r="E159" s="2" t="n"/>
      <x:c r="F159" s="5" t="n"/>
      <x:c r="G159" s="5" t="n"/>
      <x:c r="H159" s="2" t="n"/>
      <x:c r="I159" s="6" t="n"/>
      <x:c r="J159" s="6" t="n"/>
      <x:c r="K159" s="7" t="n"/>
      <x:c r="L159" s="7" t="n"/>
      <x:c r="M159" s="7" t="n"/>
      <x:c r="N159" s="7" t="n"/>
      <x:c r="O159" s="2" t="n"/>
      <x:c r="P159" s="7" t="n"/>
      <x:c r="Q159" s="7" t="n"/>
      <x:c r="R159" s="7" t="n"/>
      <x:c r="S159" s="7" t="n"/>
      <x:c r="T159" s="2" t="n"/>
      <x:c r="U159" s="7" t="n"/>
      <x:c r="V159" s="8">
        <x:f>IF(OR(U159="",O159="",K159=""),"", (U159-K159)*O159)</x:f>
      </x:c>
      <x:c r="W159" s="8">
        <x:f>IF(V159="","", V159-S159)</x:f>
      </x:c>
      <x:c r="X159" s="9">
        <x:f>IF(OR(W159="",N159=0),"", W159/N159)</x:f>
      </x:c>
      <x:c r="Y159" s="10">
        <x:f>IF(OR(W159="",Config!$B$2=0,Config!$B$1=0),"", W159/(Config!$B$1*Config!$B$2))</x:f>
      </x:c>
      <x:c r="Z159" s="2" t="inlineStr">
        <x:is>
          <x:t xml:space="preserve"/>
        </x:is>
      </x:c>
    </x:row>
    <x:row r="160">
      <x:c r="A160" s="2" t="n"/>
      <x:c r="B160" s="3" t="n"/>
      <x:c r="C160" s="2" t="n"/>
      <x:c r="D160" s="4" t="n"/>
      <x:c r="E160" s="2" t="n"/>
      <x:c r="F160" s="5" t="n"/>
      <x:c r="G160" s="5" t="n"/>
      <x:c r="H160" s="2" t="n"/>
      <x:c r="I160" s="6" t="n"/>
      <x:c r="J160" s="6" t="n"/>
      <x:c r="K160" s="7" t="n"/>
      <x:c r="L160" s="7" t="n"/>
      <x:c r="M160" s="7" t="n"/>
      <x:c r="N160" s="7" t="n"/>
      <x:c r="O160" s="2" t="n"/>
      <x:c r="P160" s="7" t="n"/>
      <x:c r="Q160" s="7" t="n"/>
      <x:c r="R160" s="7" t="n"/>
      <x:c r="S160" s="7" t="n"/>
      <x:c r="T160" s="2" t="n"/>
      <x:c r="U160" s="7" t="n"/>
      <x:c r="V160" s="8">
        <x:f>IF(OR(U160="",O160="",K160=""),"", (U160-K160)*O160)</x:f>
      </x:c>
      <x:c r="W160" s="8">
        <x:f>IF(V160="","", V160-S160)</x:f>
      </x:c>
      <x:c r="X160" s="9">
        <x:f>IF(OR(W160="",N160=0),"", W160/N160)</x:f>
      </x:c>
      <x:c r="Y160" s="10">
        <x:f>IF(OR(W160="",Config!$B$2=0,Config!$B$1=0),"", W160/(Config!$B$1*Config!$B$2))</x:f>
      </x:c>
      <x:c r="Z160" s="2" t="inlineStr">
        <x:is>
          <x:t xml:space="preserve"/>
        </x:is>
      </x:c>
    </x:row>
    <x:row r="161">
      <x:c r="A161" s="2" t="n"/>
      <x:c r="B161" s="3" t="n"/>
      <x:c r="C161" s="2" t="n"/>
      <x:c r="D161" s="4" t="n"/>
      <x:c r="E161" s="2" t="n"/>
      <x:c r="F161" s="5" t="n"/>
      <x:c r="G161" s="5" t="n"/>
      <x:c r="H161" s="2" t="n"/>
      <x:c r="I161" s="6" t="n"/>
      <x:c r="J161" s="6" t="n"/>
      <x:c r="K161" s="7" t="n"/>
      <x:c r="L161" s="7" t="n"/>
      <x:c r="M161" s="7" t="n"/>
      <x:c r="N161" s="7" t="n"/>
      <x:c r="O161" s="2" t="n"/>
      <x:c r="P161" s="7" t="n"/>
      <x:c r="Q161" s="7" t="n"/>
      <x:c r="R161" s="7" t="n"/>
      <x:c r="S161" s="7" t="n"/>
      <x:c r="T161" s="2" t="n"/>
      <x:c r="U161" s="7" t="n"/>
      <x:c r="V161" s="8">
        <x:f>IF(OR(U161="",O161="",K161=""),"", (U161-K161)*O161)</x:f>
      </x:c>
      <x:c r="W161" s="8">
        <x:f>IF(V161="","", V161-S161)</x:f>
      </x:c>
      <x:c r="X161" s="9">
        <x:f>IF(OR(W161="",N161=0),"", W161/N161)</x:f>
      </x:c>
      <x:c r="Y161" s="10">
        <x:f>IF(OR(W161="",Config!$B$2=0,Config!$B$1=0),"", W161/(Config!$B$1*Config!$B$2))</x:f>
      </x:c>
      <x:c r="Z161" s="2" t="inlineStr">
        <x:is>
          <x:t xml:space="preserve"/>
        </x:is>
      </x:c>
    </x:row>
    <x:row r="162">
      <x:c r="A162" s="2" t="n"/>
      <x:c r="B162" s="3" t="n"/>
      <x:c r="C162" s="2" t="n"/>
      <x:c r="D162" s="4" t="n"/>
      <x:c r="E162" s="2" t="n"/>
      <x:c r="F162" s="5" t="n"/>
      <x:c r="G162" s="5" t="n"/>
      <x:c r="H162" s="2" t="n"/>
      <x:c r="I162" s="6" t="n"/>
      <x:c r="J162" s="6" t="n"/>
      <x:c r="K162" s="7" t="n"/>
      <x:c r="L162" s="7" t="n"/>
      <x:c r="M162" s="7" t="n"/>
      <x:c r="N162" s="7" t="n"/>
      <x:c r="O162" s="2" t="n"/>
      <x:c r="P162" s="7" t="n"/>
      <x:c r="Q162" s="7" t="n"/>
      <x:c r="R162" s="7" t="n"/>
      <x:c r="S162" s="7" t="n"/>
      <x:c r="T162" s="2" t="n"/>
      <x:c r="U162" s="7" t="n"/>
      <x:c r="V162" s="8">
        <x:f>IF(OR(U162="",O162="",K162=""),"", (U162-K162)*O162)</x:f>
      </x:c>
      <x:c r="W162" s="8">
        <x:f>IF(V162="","", V162-S162)</x:f>
      </x:c>
      <x:c r="X162" s="9">
        <x:f>IF(OR(W162="",N162=0),"", W162/N162)</x:f>
      </x:c>
      <x:c r="Y162" s="10">
        <x:f>IF(OR(W162="",Config!$B$2=0,Config!$B$1=0),"", W162/(Config!$B$1*Config!$B$2))</x:f>
      </x:c>
      <x:c r="Z162" s="2" t="inlineStr">
        <x:is>
          <x:t xml:space="preserve"/>
        </x:is>
      </x:c>
    </x:row>
    <x:row r="163">
      <x:c r="A163" s="2" t="n"/>
      <x:c r="B163" s="3" t="n"/>
      <x:c r="C163" s="2" t="n"/>
      <x:c r="D163" s="4" t="n"/>
      <x:c r="E163" s="2" t="n"/>
      <x:c r="F163" s="5" t="n"/>
      <x:c r="G163" s="5" t="n"/>
      <x:c r="H163" s="2" t="n"/>
      <x:c r="I163" s="6" t="n"/>
      <x:c r="J163" s="6" t="n"/>
      <x:c r="K163" s="7" t="n"/>
      <x:c r="L163" s="7" t="n"/>
      <x:c r="M163" s="7" t="n"/>
      <x:c r="N163" s="7" t="n"/>
      <x:c r="O163" s="2" t="n"/>
      <x:c r="P163" s="7" t="n"/>
      <x:c r="Q163" s="7" t="n"/>
      <x:c r="R163" s="7" t="n"/>
      <x:c r="S163" s="7" t="n"/>
      <x:c r="T163" s="2" t="n"/>
      <x:c r="U163" s="7" t="n"/>
      <x:c r="V163" s="8">
        <x:f>IF(OR(U163="",O163="",K163=""),"", (U163-K163)*O163)</x:f>
      </x:c>
      <x:c r="W163" s="8">
        <x:f>IF(V163="","", V163-S163)</x:f>
      </x:c>
      <x:c r="X163" s="9">
        <x:f>IF(OR(W163="",N163=0),"", W163/N163)</x:f>
      </x:c>
      <x:c r="Y163" s="10">
        <x:f>IF(OR(W163="",Config!$B$2=0,Config!$B$1=0),"", W163/(Config!$B$1*Config!$B$2))</x:f>
      </x:c>
      <x:c r="Z163" s="2" t="inlineStr">
        <x:is>
          <x:t xml:space="preserve"/>
        </x:is>
      </x:c>
    </x:row>
    <x:row r="164">
      <x:c r="A164" s="2" t="n"/>
      <x:c r="B164" s="3" t="n"/>
      <x:c r="C164" s="2" t="n"/>
      <x:c r="D164" s="4" t="n"/>
      <x:c r="E164" s="2" t="n"/>
      <x:c r="F164" s="5" t="n"/>
      <x:c r="G164" s="5" t="n"/>
      <x:c r="H164" s="2" t="n"/>
      <x:c r="I164" s="6" t="n"/>
      <x:c r="J164" s="6" t="n"/>
      <x:c r="K164" s="7" t="n"/>
      <x:c r="L164" s="7" t="n"/>
      <x:c r="M164" s="7" t="n"/>
      <x:c r="N164" s="7" t="n"/>
      <x:c r="O164" s="2" t="n"/>
      <x:c r="P164" s="7" t="n"/>
      <x:c r="Q164" s="7" t="n"/>
      <x:c r="R164" s="7" t="n"/>
      <x:c r="S164" s="7" t="n"/>
      <x:c r="T164" s="2" t="n"/>
      <x:c r="U164" s="7" t="n"/>
      <x:c r="V164" s="8">
        <x:f>IF(OR(U164="",O164="",K164=""),"", (U164-K164)*O164)</x:f>
      </x:c>
      <x:c r="W164" s="8">
        <x:f>IF(V164="","", V164-S164)</x:f>
      </x:c>
      <x:c r="X164" s="9">
        <x:f>IF(OR(W164="",N164=0),"", W164/N164)</x:f>
      </x:c>
      <x:c r="Y164" s="10">
        <x:f>IF(OR(W164="",Config!$B$2=0,Config!$B$1=0),"", W164/(Config!$B$1*Config!$B$2))</x:f>
      </x:c>
      <x:c r="Z164" s="2" t="inlineStr">
        <x:is>
          <x:t xml:space="preserve"/>
        </x:is>
      </x:c>
    </x:row>
    <x:row r="165">
      <x:c r="A165" s="2" t="n"/>
      <x:c r="B165" s="3" t="n"/>
      <x:c r="C165" s="2" t="n"/>
      <x:c r="D165" s="4" t="n"/>
      <x:c r="E165" s="2" t="n"/>
      <x:c r="F165" s="5" t="n"/>
      <x:c r="G165" s="5" t="n"/>
      <x:c r="H165" s="2" t="n"/>
      <x:c r="I165" s="6" t="n"/>
      <x:c r="J165" s="6" t="n"/>
      <x:c r="K165" s="7" t="n"/>
      <x:c r="L165" s="7" t="n"/>
      <x:c r="M165" s="7" t="n"/>
      <x:c r="N165" s="7" t="n"/>
      <x:c r="O165" s="2" t="n"/>
      <x:c r="P165" s="7" t="n"/>
      <x:c r="Q165" s="7" t="n"/>
      <x:c r="R165" s="7" t="n"/>
      <x:c r="S165" s="7" t="n"/>
      <x:c r="T165" s="2" t="n"/>
      <x:c r="U165" s="7" t="n"/>
      <x:c r="V165" s="8">
        <x:f>IF(OR(U165="",O165="",K165=""),"", (U165-K165)*O165)</x:f>
      </x:c>
      <x:c r="W165" s="8">
        <x:f>IF(V165="","", V165-S165)</x:f>
      </x:c>
      <x:c r="X165" s="9">
        <x:f>IF(OR(W165="",N165=0),"", W165/N165)</x:f>
      </x:c>
      <x:c r="Y165" s="10">
        <x:f>IF(OR(W165="",Config!$B$2=0,Config!$B$1=0),"", W165/(Config!$B$1*Config!$B$2))</x:f>
      </x:c>
      <x:c r="Z165" s="2" t="inlineStr">
        <x:is>
          <x:t xml:space="preserve"/>
        </x:is>
      </x:c>
    </x:row>
    <x:row r="166">
      <x:c r="A166" s="2" t="n"/>
      <x:c r="B166" s="3" t="n"/>
      <x:c r="C166" s="2" t="n"/>
      <x:c r="D166" s="4" t="n"/>
      <x:c r="E166" s="2" t="n"/>
      <x:c r="F166" s="5" t="n"/>
      <x:c r="G166" s="5" t="n"/>
      <x:c r="H166" s="2" t="n"/>
      <x:c r="I166" s="6" t="n"/>
      <x:c r="J166" s="6" t="n"/>
      <x:c r="K166" s="7" t="n"/>
      <x:c r="L166" s="7" t="n"/>
      <x:c r="M166" s="7" t="n"/>
      <x:c r="N166" s="7" t="n"/>
      <x:c r="O166" s="2" t="n"/>
      <x:c r="P166" s="7" t="n"/>
      <x:c r="Q166" s="7" t="n"/>
      <x:c r="R166" s="7" t="n"/>
      <x:c r="S166" s="7" t="n"/>
      <x:c r="T166" s="2" t="n"/>
      <x:c r="U166" s="7" t="n"/>
      <x:c r="V166" s="8">
        <x:f>IF(OR(U166="",O166="",K166=""),"", (U166-K166)*O166)</x:f>
      </x:c>
      <x:c r="W166" s="8">
        <x:f>IF(V166="","", V166-S166)</x:f>
      </x:c>
      <x:c r="X166" s="9">
        <x:f>IF(OR(W166="",N166=0),"", W166/N166)</x:f>
      </x:c>
      <x:c r="Y166" s="10">
        <x:f>IF(OR(W166="",Config!$B$2=0,Config!$B$1=0),"", W166/(Config!$B$1*Config!$B$2))</x:f>
      </x:c>
      <x:c r="Z166" s="2" t="inlineStr">
        <x:is>
          <x:t xml:space="preserve"/>
        </x:is>
      </x:c>
    </x:row>
    <x:row r="167">
      <x:c r="A167" s="2" t="n"/>
      <x:c r="B167" s="3" t="n"/>
      <x:c r="C167" s="2" t="n"/>
      <x:c r="D167" s="4" t="n"/>
      <x:c r="E167" s="2" t="n"/>
      <x:c r="F167" s="5" t="n"/>
      <x:c r="G167" s="5" t="n"/>
      <x:c r="H167" s="2" t="n"/>
      <x:c r="I167" s="6" t="n"/>
      <x:c r="J167" s="6" t="n"/>
      <x:c r="K167" s="7" t="n"/>
      <x:c r="L167" s="7" t="n"/>
      <x:c r="M167" s="7" t="n"/>
      <x:c r="N167" s="7" t="n"/>
      <x:c r="O167" s="2" t="n"/>
      <x:c r="P167" s="7" t="n"/>
      <x:c r="Q167" s="7" t="n"/>
      <x:c r="R167" s="7" t="n"/>
      <x:c r="S167" s="7" t="n"/>
      <x:c r="T167" s="2" t="n"/>
      <x:c r="U167" s="7" t="n"/>
      <x:c r="V167" s="8">
        <x:f>IF(OR(U167="",O167="",K167=""),"", (U167-K167)*O167)</x:f>
      </x:c>
      <x:c r="W167" s="8">
        <x:f>IF(V167="","", V167-S167)</x:f>
      </x:c>
      <x:c r="X167" s="9">
        <x:f>IF(OR(W167="",N167=0),"", W167/N167)</x:f>
      </x:c>
      <x:c r="Y167" s="10">
        <x:f>IF(OR(W167="",Config!$B$2=0,Config!$B$1=0),"", W167/(Config!$B$1*Config!$B$2))</x:f>
      </x:c>
      <x:c r="Z167" s="2" t="inlineStr">
        <x:is>
          <x:t xml:space="preserve"/>
        </x:is>
      </x:c>
    </x:row>
    <x:row r="168">
      <x:c r="A168" s="2" t="n"/>
      <x:c r="B168" s="3" t="n"/>
      <x:c r="C168" s="2" t="n"/>
      <x:c r="D168" s="4" t="n"/>
      <x:c r="E168" s="2" t="n"/>
      <x:c r="F168" s="5" t="n"/>
      <x:c r="G168" s="5" t="n"/>
      <x:c r="H168" s="2" t="n"/>
      <x:c r="I168" s="6" t="n"/>
      <x:c r="J168" s="6" t="n"/>
      <x:c r="K168" s="7" t="n"/>
      <x:c r="L168" s="7" t="n"/>
      <x:c r="M168" s="7" t="n"/>
      <x:c r="N168" s="7" t="n"/>
      <x:c r="O168" s="2" t="n"/>
      <x:c r="P168" s="7" t="n"/>
      <x:c r="Q168" s="7" t="n"/>
      <x:c r="R168" s="7" t="n"/>
      <x:c r="S168" s="7" t="n"/>
      <x:c r="T168" s="2" t="n"/>
      <x:c r="U168" s="7" t="n"/>
      <x:c r="V168" s="8">
        <x:f>IF(OR(U168="",O168="",K168=""),"", (U168-K168)*O168)</x:f>
      </x:c>
      <x:c r="W168" s="8">
        <x:f>IF(V168="","", V168-S168)</x:f>
      </x:c>
      <x:c r="X168" s="9">
        <x:f>IF(OR(W168="",N168=0),"", W168/N168)</x:f>
      </x:c>
      <x:c r="Y168" s="10">
        <x:f>IF(OR(W168="",Config!$B$2=0,Config!$B$1=0),"", W168/(Config!$B$1*Config!$B$2))</x:f>
      </x:c>
      <x:c r="Z168" s="2" t="inlineStr">
        <x:is>
          <x:t xml:space="preserve"/>
        </x:is>
      </x:c>
    </x:row>
    <x:row r="169">
      <x:c r="A169" s="2" t="n"/>
      <x:c r="B169" s="3" t="n"/>
      <x:c r="C169" s="2" t="n"/>
      <x:c r="D169" s="4" t="n"/>
      <x:c r="E169" s="2" t="n"/>
      <x:c r="F169" s="5" t="n"/>
      <x:c r="G169" s="5" t="n"/>
      <x:c r="H169" s="2" t="n"/>
      <x:c r="I169" s="6" t="n"/>
      <x:c r="J169" s="6" t="n"/>
      <x:c r="K169" s="7" t="n"/>
      <x:c r="L169" s="7" t="n"/>
      <x:c r="M169" s="7" t="n"/>
      <x:c r="N169" s="7" t="n"/>
      <x:c r="O169" s="2" t="n"/>
      <x:c r="P169" s="7" t="n"/>
      <x:c r="Q169" s="7" t="n"/>
      <x:c r="R169" s="7" t="n"/>
      <x:c r="S169" s="7" t="n"/>
      <x:c r="T169" s="2" t="n"/>
      <x:c r="U169" s="7" t="n"/>
      <x:c r="V169" s="8">
        <x:f>IF(OR(U169="",O169="",K169=""),"", (U169-K169)*O169)</x:f>
      </x:c>
      <x:c r="W169" s="8">
        <x:f>IF(V169="","", V169-S169)</x:f>
      </x:c>
      <x:c r="X169" s="9">
        <x:f>IF(OR(W169="",N169=0),"", W169/N169)</x:f>
      </x:c>
      <x:c r="Y169" s="10">
        <x:f>IF(OR(W169="",Config!$B$2=0,Config!$B$1=0),"", W169/(Config!$B$1*Config!$B$2))</x:f>
      </x:c>
      <x:c r="Z169" s="2" t="inlineStr">
        <x:is>
          <x:t xml:space="preserve"/>
        </x:is>
      </x:c>
    </x:row>
    <x:row r="170">
      <x:c r="A170" s="2" t="n"/>
      <x:c r="B170" s="3" t="n"/>
      <x:c r="C170" s="2" t="n"/>
      <x:c r="D170" s="4" t="n"/>
      <x:c r="E170" s="2" t="n"/>
      <x:c r="F170" s="5" t="n"/>
      <x:c r="G170" s="5" t="n"/>
      <x:c r="H170" s="2" t="n"/>
      <x:c r="I170" s="6" t="n"/>
      <x:c r="J170" s="6" t="n"/>
      <x:c r="K170" s="7" t="n"/>
      <x:c r="L170" s="7" t="n"/>
      <x:c r="M170" s="7" t="n"/>
      <x:c r="N170" s="7" t="n"/>
      <x:c r="O170" s="2" t="n"/>
      <x:c r="P170" s="7" t="n"/>
      <x:c r="Q170" s="7" t="n"/>
      <x:c r="R170" s="7" t="n"/>
      <x:c r="S170" s="7" t="n"/>
      <x:c r="T170" s="2" t="n"/>
      <x:c r="U170" s="7" t="n"/>
      <x:c r="V170" s="8">
        <x:f>IF(OR(U170="",O170="",K170=""),"", (U170-K170)*O170)</x:f>
      </x:c>
      <x:c r="W170" s="8">
        <x:f>IF(V170="","", V170-S170)</x:f>
      </x:c>
      <x:c r="X170" s="9">
        <x:f>IF(OR(W170="",N170=0),"", W170/N170)</x:f>
      </x:c>
      <x:c r="Y170" s="10">
        <x:f>IF(OR(W170="",Config!$B$2=0,Config!$B$1=0),"", W170/(Config!$B$1*Config!$B$2))</x:f>
      </x:c>
      <x:c r="Z170" s="2" t="inlineStr">
        <x:is>
          <x:t xml:space="preserve"/>
        </x:is>
      </x:c>
    </x:row>
    <x:row r="171">
      <x:c r="A171" s="2" t="n"/>
      <x:c r="B171" s="3" t="n"/>
      <x:c r="C171" s="2" t="n"/>
      <x:c r="D171" s="4" t="n"/>
      <x:c r="E171" s="2" t="n"/>
      <x:c r="F171" s="5" t="n"/>
      <x:c r="G171" s="5" t="n"/>
      <x:c r="H171" s="2" t="n"/>
      <x:c r="I171" s="6" t="n"/>
      <x:c r="J171" s="6" t="n"/>
      <x:c r="K171" s="7" t="n"/>
      <x:c r="L171" s="7" t="n"/>
      <x:c r="M171" s="7" t="n"/>
      <x:c r="N171" s="7" t="n"/>
      <x:c r="O171" s="2" t="n"/>
      <x:c r="P171" s="7" t="n"/>
      <x:c r="Q171" s="7" t="n"/>
      <x:c r="R171" s="7" t="n"/>
      <x:c r="S171" s="7" t="n"/>
      <x:c r="T171" s="2" t="n"/>
      <x:c r="U171" s="7" t="n"/>
      <x:c r="V171" s="8">
        <x:f>IF(OR(U171="",O171="",K171=""),"", (U171-K171)*O171)</x:f>
      </x:c>
      <x:c r="W171" s="8">
        <x:f>IF(V171="","", V171-S171)</x:f>
      </x:c>
      <x:c r="X171" s="9">
        <x:f>IF(OR(W171="",N171=0),"", W171/N171)</x:f>
      </x:c>
      <x:c r="Y171" s="10">
        <x:f>IF(OR(W171="",Config!$B$2=0,Config!$B$1=0),"", W171/(Config!$B$1*Config!$B$2))</x:f>
      </x:c>
      <x:c r="Z171" s="2" t="inlineStr">
        <x:is>
          <x:t xml:space="preserve"/>
        </x:is>
      </x:c>
    </x:row>
    <x:row r="172">
      <x:c r="A172" s="2" t="n"/>
      <x:c r="B172" s="3" t="n"/>
      <x:c r="C172" s="2" t="n"/>
      <x:c r="D172" s="4" t="n"/>
      <x:c r="E172" s="2" t="n"/>
      <x:c r="F172" s="5" t="n"/>
      <x:c r="G172" s="5" t="n"/>
      <x:c r="H172" s="2" t="n"/>
      <x:c r="I172" s="6" t="n"/>
      <x:c r="J172" s="6" t="n"/>
      <x:c r="K172" s="7" t="n"/>
      <x:c r="L172" s="7" t="n"/>
      <x:c r="M172" s="7" t="n"/>
      <x:c r="N172" s="7" t="n"/>
      <x:c r="O172" s="2" t="n"/>
      <x:c r="P172" s="7" t="n"/>
      <x:c r="Q172" s="7" t="n"/>
      <x:c r="R172" s="7" t="n"/>
      <x:c r="S172" s="7" t="n"/>
      <x:c r="T172" s="2" t="n"/>
      <x:c r="U172" s="7" t="n"/>
      <x:c r="V172" s="8">
        <x:f>IF(OR(U172="",O172="",K172=""),"", (U172-K172)*O172)</x:f>
      </x:c>
      <x:c r="W172" s="8">
        <x:f>IF(V172="","", V172-S172)</x:f>
      </x:c>
      <x:c r="X172" s="9">
        <x:f>IF(OR(W172="",N172=0),"", W172/N172)</x:f>
      </x:c>
      <x:c r="Y172" s="10">
        <x:f>IF(OR(W172="",Config!$B$2=0,Config!$B$1=0),"", W172/(Config!$B$1*Config!$B$2))</x:f>
      </x:c>
      <x:c r="Z172" s="2" t="inlineStr">
        <x:is>
          <x:t xml:space="preserve"/>
        </x:is>
      </x:c>
    </x:row>
    <x:row r="173">
      <x:c r="A173" s="2" t="n"/>
      <x:c r="B173" s="3" t="n"/>
      <x:c r="C173" s="2" t="n"/>
      <x:c r="D173" s="4" t="n"/>
      <x:c r="E173" s="2" t="n"/>
      <x:c r="F173" s="5" t="n"/>
      <x:c r="G173" s="5" t="n"/>
      <x:c r="H173" s="2" t="n"/>
      <x:c r="I173" s="6" t="n"/>
      <x:c r="J173" s="6" t="n"/>
      <x:c r="K173" s="7" t="n"/>
      <x:c r="L173" s="7" t="n"/>
      <x:c r="M173" s="7" t="n"/>
      <x:c r="N173" s="7" t="n"/>
      <x:c r="O173" s="2" t="n"/>
      <x:c r="P173" s="7" t="n"/>
      <x:c r="Q173" s="7" t="n"/>
      <x:c r="R173" s="7" t="n"/>
      <x:c r="S173" s="7" t="n"/>
      <x:c r="T173" s="2" t="n"/>
      <x:c r="U173" s="7" t="n"/>
      <x:c r="V173" s="8">
        <x:f>IF(OR(U173="",O173="",K173=""),"", (U173-K173)*O173)</x:f>
      </x:c>
      <x:c r="W173" s="8">
        <x:f>IF(V173="","", V173-S173)</x:f>
      </x:c>
      <x:c r="X173" s="9">
        <x:f>IF(OR(W173="",N173=0),"", W173/N173)</x:f>
      </x:c>
      <x:c r="Y173" s="10">
        <x:f>IF(OR(W173="",Config!$B$2=0,Config!$B$1=0),"", W173/(Config!$B$1*Config!$B$2))</x:f>
      </x:c>
      <x:c r="Z173" s="2" t="inlineStr">
        <x:is>
          <x:t xml:space="preserve"/>
        </x:is>
      </x:c>
    </x:row>
    <x:row r="174">
      <x:c r="A174" s="2" t="n"/>
      <x:c r="B174" s="3" t="n"/>
      <x:c r="C174" s="2" t="n"/>
      <x:c r="D174" s="4" t="n"/>
      <x:c r="E174" s="2" t="n"/>
      <x:c r="F174" s="5" t="n"/>
      <x:c r="G174" s="5" t="n"/>
      <x:c r="H174" s="2" t="n"/>
      <x:c r="I174" s="6" t="n"/>
      <x:c r="J174" s="6" t="n"/>
      <x:c r="K174" s="7" t="n"/>
      <x:c r="L174" s="7" t="n"/>
      <x:c r="M174" s="7" t="n"/>
      <x:c r="N174" s="7" t="n"/>
      <x:c r="O174" s="2" t="n"/>
      <x:c r="P174" s="7" t="n"/>
      <x:c r="Q174" s="7" t="n"/>
      <x:c r="R174" s="7" t="n"/>
      <x:c r="S174" s="7" t="n"/>
      <x:c r="T174" s="2" t="n"/>
      <x:c r="U174" s="7" t="n"/>
      <x:c r="V174" s="8">
        <x:f>IF(OR(U174="",O174="",K174=""),"", (U174-K174)*O174)</x:f>
      </x:c>
      <x:c r="W174" s="8">
        <x:f>IF(V174="","", V174-S174)</x:f>
      </x:c>
      <x:c r="X174" s="9">
        <x:f>IF(OR(W174="",N174=0),"", W174/N174)</x:f>
      </x:c>
      <x:c r="Y174" s="10">
        <x:f>IF(OR(W174="",Config!$B$2=0,Config!$B$1=0),"", W174/(Config!$B$1*Config!$B$2))</x:f>
      </x:c>
      <x:c r="Z174" s="2" t="inlineStr">
        <x:is>
          <x:t xml:space="preserve"/>
        </x:is>
      </x:c>
    </x:row>
    <x:row r="175">
      <x:c r="A175" s="2" t="n"/>
      <x:c r="B175" s="3" t="n"/>
      <x:c r="C175" s="2" t="n"/>
      <x:c r="D175" s="4" t="n"/>
      <x:c r="E175" s="2" t="n"/>
      <x:c r="F175" s="5" t="n"/>
      <x:c r="G175" s="5" t="n"/>
      <x:c r="H175" s="2" t="n"/>
      <x:c r="I175" s="6" t="n"/>
      <x:c r="J175" s="6" t="n"/>
      <x:c r="K175" s="7" t="n"/>
      <x:c r="L175" s="7" t="n"/>
      <x:c r="M175" s="7" t="n"/>
      <x:c r="N175" s="7" t="n"/>
      <x:c r="O175" s="2" t="n"/>
      <x:c r="P175" s="7" t="n"/>
      <x:c r="Q175" s="7" t="n"/>
      <x:c r="R175" s="7" t="n"/>
      <x:c r="S175" s="7" t="n"/>
      <x:c r="T175" s="2" t="n"/>
      <x:c r="U175" s="7" t="n"/>
      <x:c r="V175" s="8">
        <x:f>IF(OR(U175="",O175="",K175=""),"", (U175-K175)*O175)</x:f>
      </x:c>
      <x:c r="W175" s="8">
        <x:f>IF(V175="","", V175-S175)</x:f>
      </x:c>
      <x:c r="X175" s="9">
        <x:f>IF(OR(W175="",N175=0),"", W175/N175)</x:f>
      </x:c>
      <x:c r="Y175" s="10">
        <x:f>IF(OR(W175="",Config!$B$2=0,Config!$B$1=0),"", W175/(Config!$B$1*Config!$B$2))</x:f>
      </x:c>
      <x:c r="Z175" s="2" t="inlineStr">
        <x:is>
          <x:t xml:space="preserve"/>
        </x:is>
      </x:c>
    </x:row>
    <x:row r="176">
      <x:c r="A176" s="2" t="n"/>
      <x:c r="B176" s="3" t="n"/>
      <x:c r="C176" s="2" t="n"/>
      <x:c r="D176" s="4" t="n"/>
      <x:c r="E176" s="2" t="n"/>
      <x:c r="F176" s="5" t="n"/>
      <x:c r="G176" s="5" t="n"/>
      <x:c r="H176" s="2" t="n"/>
      <x:c r="I176" s="6" t="n"/>
      <x:c r="J176" s="6" t="n"/>
      <x:c r="K176" s="7" t="n"/>
      <x:c r="L176" s="7" t="n"/>
      <x:c r="M176" s="7" t="n"/>
      <x:c r="N176" s="7" t="n"/>
      <x:c r="O176" s="2" t="n"/>
      <x:c r="P176" s="7" t="n"/>
      <x:c r="Q176" s="7" t="n"/>
      <x:c r="R176" s="7" t="n"/>
      <x:c r="S176" s="7" t="n"/>
      <x:c r="T176" s="2" t="n"/>
      <x:c r="U176" s="7" t="n"/>
      <x:c r="V176" s="8">
        <x:f>IF(OR(U176="",O176="",K176=""),"", (U176-K176)*O176)</x:f>
      </x:c>
      <x:c r="W176" s="8">
        <x:f>IF(V176="","", V176-S176)</x:f>
      </x:c>
      <x:c r="X176" s="9">
        <x:f>IF(OR(W176="",N176=0),"", W176/N176)</x:f>
      </x:c>
      <x:c r="Y176" s="10">
        <x:f>IF(OR(W176="",Config!$B$2=0,Config!$B$1=0),"", W176/(Config!$B$1*Config!$B$2))</x:f>
      </x:c>
      <x:c r="Z176" s="2" t="inlineStr">
        <x:is>
          <x:t xml:space="preserve"/>
        </x:is>
      </x:c>
    </x:row>
    <x:row r="177">
      <x:c r="A177" s="2" t="n"/>
      <x:c r="B177" s="3" t="n"/>
      <x:c r="C177" s="2" t="n"/>
      <x:c r="D177" s="4" t="n"/>
      <x:c r="E177" s="2" t="n"/>
      <x:c r="F177" s="5" t="n"/>
      <x:c r="G177" s="5" t="n"/>
      <x:c r="H177" s="2" t="n"/>
      <x:c r="I177" s="6" t="n"/>
      <x:c r="J177" s="6" t="n"/>
      <x:c r="K177" s="7" t="n"/>
      <x:c r="L177" s="7" t="n"/>
      <x:c r="M177" s="7" t="n"/>
      <x:c r="N177" s="7" t="n"/>
      <x:c r="O177" s="2" t="n"/>
      <x:c r="P177" s="7" t="n"/>
      <x:c r="Q177" s="7" t="n"/>
      <x:c r="R177" s="7" t="n"/>
      <x:c r="S177" s="7" t="n"/>
      <x:c r="T177" s="2" t="n"/>
      <x:c r="U177" s="7" t="n"/>
      <x:c r="V177" s="8">
        <x:f>IF(OR(U177="",O177="",K177=""),"", (U177-K177)*O177)</x:f>
      </x:c>
      <x:c r="W177" s="8">
        <x:f>IF(V177="","", V177-S177)</x:f>
      </x:c>
      <x:c r="X177" s="9">
        <x:f>IF(OR(W177="",N177=0),"", W177/N177)</x:f>
      </x:c>
      <x:c r="Y177" s="10">
        <x:f>IF(OR(W177="",Config!$B$2=0,Config!$B$1=0),"", W177/(Config!$B$1*Config!$B$2))</x:f>
      </x:c>
      <x:c r="Z177" s="2" t="inlineStr">
        <x:is>
          <x:t xml:space="preserve"/>
        </x:is>
      </x:c>
    </x:row>
    <x:row r="178">
      <x:c r="A178" s="2" t="n"/>
      <x:c r="B178" s="3" t="n"/>
      <x:c r="C178" s="2" t="n"/>
      <x:c r="D178" s="4" t="n"/>
      <x:c r="E178" s="2" t="n"/>
      <x:c r="F178" s="5" t="n"/>
      <x:c r="G178" s="5" t="n"/>
      <x:c r="H178" s="2" t="n"/>
      <x:c r="I178" s="6" t="n"/>
      <x:c r="J178" s="6" t="n"/>
      <x:c r="K178" s="7" t="n"/>
      <x:c r="L178" s="7" t="n"/>
      <x:c r="M178" s="7" t="n"/>
      <x:c r="N178" s="7" t="n"/>
      <x:c r="O178" s="2" t="n"/>
      <x:c r="P178" s="7" t="n"/>
      <x:c r="Q178" s="7" t="n"/>
      <x:c r="R178" s="7" t="n"/>
      <x:c r="S178" s="7" t="n"/>
      <x:c r="T178" s="2" t="n"/>
      <x:c r="U178" s="7" t="n"/>
      <x:c r="V178" s="8">
        <x:f>IF(OR(U178="",O178="",K178=""),"", (U178-K178)*O178)</x:f>
      </x:c>
      <x:c r="W178" s="8">
        <x:f>IF(V178="","", V178-S178)</x:f>
      </x:c>
      <x:c r="X178" s="9">
        <x:f>IF(OR(W178="",N178=0),"", W178/N178)</x:f>
      </x:c>
      <x:c r="Y178" s="10">
        <x:f>IF(OR(W178="",Config!$B$2=0,Config!$B$1=0),"", W178/(Config!$B$1*Config!$B$2))</x:f>
      </x:c>
      <x:c r="Z178" s="2" t="inlineStr">
        <x:is>
          <x:t xml:space="preserve"/>
        </x:is>
      </x:c>
    </x:row>
    <x:row r="179">
      <x:c r="A179" s="2" t="n"/>
      <x:c r="B179" s="3" t="n"/>
      <x:c r="C179" s="2" t="n"/>
      <x:c r="D179" s="4" t="n"/>
      <x:c r="E179" s="2" t="n"/>
      <x:c r="F179" s="5" t="n"/>
      <x:c r="G179" s="5" t="n"/>
      <x:c r="H179" s="2" t="n"/>
      <x:c r="I179" s="6" t="n"/>
      <x:c r="J179" s="6" t="n"/>
      <x:c r="K179" s="7" t="n"/>
      <x:c r="L179" s="7" t="n"/>
      <x:c r="M179" s="7" t="n"/>
      <x:c r="N179" s="7" t="n"/>
      <x:c r="O179" s="2" t="n"/>
      <x:c r="P179" s="7" t="n"/>
      <x:c r="Q179" s="7" t="n"/>
      <x:c r="R179" s="7" t="n"/>
      <x:c r="S179" s="7" t="n"/>
      <x:c r="T179" s="2" t="n"/>
      <x:c r="U179" s="7" t="n"/>
      <x:c r="V179" s="8">
        <x:f>IF(OR(U179="",O179="",K179=""),"", (U179-K179)*O179)</x:f>
      </x:c>
      <x:c r="W179" s="8">
        <x:f>IF(V179="","", V179-S179)</x:f>
      </x:c>
      <x:c r="X179" s="9">
        <x:f>IF(OR(W179="",N179=0),"", W179/N179)</x:f>
      </x:c>
      <x:c r="Y179" s="10">
        <x:f>IF(OR(W179="",Config!$B$2=0,Config!$B$1=0),"", W179/(Config!$B$1*Config!$B$2))</x:f>
      </x:c>
      <x:c r="Z179" s="2" t="inlineStr">
        <x:is>
          <x:t xml:space="preserve"/>
        </x:is>
      </x:c>
    </x:row>
    <x:row r="180">
      <x:c r="A180" s="2" t="n"/>
      <x:c r="B180" s="3" t="n"/>
      <x:c r="C180" s="2" t="n"/>
      <x:c r="D180" s="4" t="n"/>
      <x:c r="E180" s="2" t="n"/>
      <x:c r="F180" s="5" t="n"/>
      <x:c r="G180" s="5" t="n"/>
      <x:c r="H180" s="2" t="n"/>
      <x:c r="I180" s="6" t="n"/>
      <x:c r="J180" s="6" t="n"/>
      <x:c r="K180" s="7" t="n"/>
      <x:c r="L180" s="7" t="n"/>
      <x:c r="M180" s="7" t="n"/>
      <x:c r="N180" s="7" t="n"/>
      <x:c r="O180" s="2" t="n"/>
      <x:c r="P180" s="7" t="n"/>
      <x:c r="Q180" s="7" t="n"/>
      <x:c r="R180" s="7" t="n"/>
      <x:c r="S180" s="7" t="n"/>
      <x:c r="T180" s="2" t="n"/>
      <x:c r="U180" s="7" t="n"/>
      <x:c r="V180" s="8">
        <x:f>IF(OR(U180="",O180="",K180=""),"", (U180-K180)*O180)</x:f>
      </x:c>
      <x:c r="W180" s="8">
        <x:f>IF(V180="","", V180-S180)</x:f>
      </x:c>
      <x:c r="X180" s="9">
        <x:f>IF(OR(W180="",N180=0),"", W180/N180)</x:f>
      </x:c>
      <x:c r="Y180" s="10">
        <x:f>IF(OR(W180="",Config!$B$2=0,Config!$B$1=0),"", W180/(Config!$B$1*Config!$B$2))</x:f>
      </x:c>
      <x:c r="Z180" s="2" t="inlineStr">
        <x:is>
          <x:t xml:space="preserve"/>
        </x:is>
      </x:c>
    </x:row>
    <x:row r="181">
      <x:c r="A181" s="2" t="n"/>
      <x:c r="B181" s="3" t="n"/>
      <x:c r="C181" s="2" t="n"/>
      <x:c r="D181" s="4" t="n"/>
      <x:c r="E181" s="2" t="n"/>
      <x:c r="F181" s="5" t="n"/>
      <x:c r="G181" s="5" t="n"/>
      <x:c r="H181" s="2" t="n"/>
      <x:c r="I181" s="6" t="n"/>
      <x:c r="J181" s="6" t="n"/>
      <x:c r="K181" s="7" t="n"/>
      <x:c r="L181" s="7" t="n"/>
      <x:c r="M181" s="7" t="n"/>
      <x:c r="N181" s="7" t="n"/>
      <x:c r="O181" s="2" t="n"/>
      <x:c r="P181" s="7" t="n"/>
      <x:c r="Q181" s="7" t="n"/>
      <x:c r="R181" s="7" t="n"/>
      <x:c r="S181" s="7" t="n"/>
      <x:c r="T181" s="2" t="n"/>
      <x:c r="U181" s="7" t="n"/>
      <x:c r="V181" s="8">
        <x:f>IF(OR(U181="",O181="",K181=""),"", (U181-K181)*O181)</x:f>
      </x:c>
      <x:c r="W181" s="8">
        <x:f>IF(V181="","", V181-S181)</x:f>
      </x:c>
      <x:c r="X181" s="9">
        <x:f>IF(OR(W181="",N181=0),"", W181/N181)</x:f>
      </x:c>
      <x:c r="Y181" s="10">
        <x:f>IF(OR(W181="",Config!$B$2=0,Config!$B$1=0),"", W181/(Config!$B$1*Config!$B$2))</x:f>
      </x:c>
      <x:c r="Z181" s="2" t="inlineStr">
        <x:is>
          <x:t xml:space="preserve"/>
        </x:is>
      </x:c>
    </x:row>
    <x:row r="182">
      <x:c r="A182" s="2" t="n"/>
      <x:c r="B182" s="3" t="n"/>
      <x:c r="C182" s="2" t="n"/>
      <x:c r="D182" s="4" t="n"/>
      <x:c r="E182" s="2" t="n"/>
      <x:c r="F182" s="5" t="n"/>
      <x:c r="G182" s="5" t="n"/>
      <x:c r="H182" s="2" t="n"/>
      <x:c r="I182" s="6" t="n"/>
      <x:c r="J182" s="6" t="n"/>
      <x:c r="K182" s="7" t="n"/>
      <x:c r="L182" s="7" t="n"/>
      <x:c r="M182" s="7" t="n"/>
      <x:c r="N182" s="7" t="n"/>
      <x:c r="O182" s="2" t="n"/>
      <x:c r="P182" s="7" t="n"/>
      <x:c r="Q182" s="7" t="n"/>
      <x:c r="R182" s="7" t="n"/>
      <x:c r="S182" s="7" t="n"/>
      <x:c r="T182" s="2" t="n"/>
      <x:c r="U182" s="7" t="n"/>
      <x:c r="V182" s="8">
        <x:f>IF(OR(U182="",O182="",K182=""),"", (U182-K182)*O182)</x:f>
      </x:c>
      <x:c r="W182" s="8">
        <x:f>IF(V182="","", V182-S182)</x:f>
      </x:c>
      <x:c r="X182" s="9">
        <x:f>IF(OR(W182="",N182=0),"", W182/N182)</x:f>
      </x:c>
      <x:c r="Y182" s="10">
        <x:f>IF(OR(W182="",Config!$B$2=0,Config!$B$1=0),"", W182/(Config!$B$1*Config!$B$2))</x:f>
      </x:c>
      <x:c r="Z182" s="2" t="inlineStr">
        <x:is>
          <x:t xml:space="preserve"/>
        </x:is>
      </x:c>
    </x:row>
    <x:row r="183">
      <x:c r="A183" s="2" t="n"/>
      <x:c r="B183" s="3" t="n"/>
      <x:c r="C183" s="2" t="n"/>
      <x:c r="D183" s="4" t="n"/>
      <x:c r="E183" s="2" t="n"/>
      <x:c r="F183" s="5" t="n"/>
      <x:c r="G183" s="5" t="n"/>
      <x:c r="H183" s="2" t="n"/>
      <x:c r="I183" s="6" t="n"/>
      <x:c r="J183" s="6" t="n"/>
      <x:c r="K183" s="7" t="n"/>
      <x:c r="L183" s="7" t="n"/>
      <x:c r="M183" s="7" t="n"/>
      <x:c r="N183" s="7" t="n"/>
      <x:c r="O183" s="2" t="n"/>
      <x:c r="P183" s="7" t="n"/>
      <x:c r="Q183" s="7" t="n"/>
      <x:c r="R183" s="7" t="n"/>
      <x:c r="S183" s="7" t="n"/>
      <x:c r="T183" s="2" t="n"/>
      <x:c r="U183" s="7" t="n"/>
      <x:c r="V183" s="8">
        <x:f>IF(OR(U183="",O183="",K183=""),"", (U183-K183)*O183)</x:f>
      </x:c>
      <x:c r="W183" s="8">
        <x:f>IF(V183="","", V183-S183)</x:f>
      </x:c>
      <x:c r="X183" s="9">
        <x:f>IF(OR(W183="",N183=0),"", W183/N183)</x:f>
      </x:c>
      <x:c r="Y183" s="10">
        <x:f>IF(OR(W183="",Config!$B$2=0,Config!$B$1=0),"", W183/(Config!$B$1*Config!$B$2))</x:f>
      </x:c>
      <x:c r="Z183" s="2" t="inlineStr">
        <x:is>
          <x:t xml:space="preserve"/>
        </x:is>
      </x:c>
    </x:row>
    <x:row r="184">
      <x:c r="A184" s="2" t="n"/>
      <x:c r="B184" s="3" t="n"/>
      <x:c r="C184" s="2" t="n"/>
      <x:c r="D184" s="4" t="n"/>
      <x:c r="E184" s="2" t="n"/>
      <x:c r="F184" s="5" t="n"/>
      <x:c r="G184" s="5" t="n"/>
      <x:c r="H184" s="2" t="n"/>
      <x:c r="I184" s="6" t="n"/>
      <x:c r="J184" s="6" t="n"/>
      <x:c r="K184" s="7" t="n"/>
      <x:c r="L184" s="7" t="n"/>
      <x:c r="M184" s="7" t="n"/>
      <x:c r="N184" s="7" t="n"/>
      <x:c r="O184" s="2" t="n"/>
      <x:c r="P184" s="7" t="n"/>
      <x:c r="Q184" s="7" t="n"/>
      <x:c r="R184" s="7" t="n"/>
      <x:c r="S184" s="7" t="n"/>
      <x:c r="T184" s="2" t="n"/>
      <x:c r="U184" s="7" t="n"/>
      <x:c r="V184" s="8">
        <x:f>IF(OR(U184="",O184="",K184=""),"", (U184-K184)*O184)</x:f>
      </x:c>
      <x:c r="W184" s="8">
        <x:f>IF(V184="","", V184-S184)</x:f>
      </x:c>
      <x:c r="X184" s="9">
        <x:f>IF(OR(W184="",N184=0),"", W184/N184)</x:f>
      </x:c>
      <x:c r="Y184" s="10">
        <x:f>IF(OR(W184="",Config!$B$2=0,Config!$B$1=0),"", W184/(Config!$B$1*Config!$B$2))</x:f>
      </x:c>
      <x:c r="Z184" s="2" t="inlineStr">
        <x:is>
          <x:t xml:space="preserve"/>
        </x:is>
      </x:c>
    </x:row>
    <x:row r="185">
      <x:c r="A185" s="2" t="n"/>
      <x:c r="B185" s="3" t="n"/>
      <x:c r="C185" s="2" t="n"/>
      <x:c r="D185" s="4" t="n"/>
      <x:c r="E185" s="2" t="n"/>
      <x:c r="F185" s="5" t="n"/>
      <x:c r="G185" s="5" t="n"/>
      <x:c r="H185" s="2" t="n"/>
      <x:c r="I185" s="6" t="n"/>
      <x:c r="J185" s="6" t="n"/>
      <x:c r="K185" s="7" t="n"/>
      <x:c r="L185" s="7" t="n"/>
      <x:c r="M185" s="7" t="n"/>
      <x:c r="N185" s="7" t="n"/>
      <x:c r="O185" s="2" t="n"/>
      <x:c r="P185" s="7" t="n"/>
      <x:c r="Q185" s="7" t="n"/>
      <x:c r="R185" s="7" t="n"/>
      <x:c r="S185" s="7" t="n"/>
      <x:c r="T185" s="2" t="n"/>
      <x:c r="U185" s="7" t="n"/>
      <x:c r="V185" s="8">
        <x:f>IF(OR(U185="",O185="",K185=""),"", (U185-K185)*O185)</x:f>
      </x:c>
      <x:c r="W185" s="8">
        <x:f>IF(V185="","", V185-S185)</x:f>
      </x:c>
      <x:c r="X185" s="9">
        <x:f>IF(OR(W185="",N185=0),"", W185/N185)</x:f>
      </x:c>
      <x:c r="Y185" s="10">
        <x:f>IF(OR(W185="",Config!$B$2=0,Config!$B$1=0),"", W185/(Config!$B$1*Config!$B$2))</x:f>
      </x:c>
      <x:c r="Z185" s="2" t="inlineStr">
        <x:is>
          <x:t xml:space="preserve"/>
        </x:is>
      </x:c>
    </x:row>
    <x:row r="186">
      <x:c r="A186" s="2" t="n"/>
      <x:c r="B186" s="3" t="n"/>
      <x:c r="C186" s="2" t="n"/>
      <x:c r="D186" s="4" t="n"/>
      <x:c r="E186" s="2" t="n"/>
      <x:c r="F186" s="5" t="n"/>
      <x:c r="G186" s="5" t="n"/>
      <x:c r="H186" s="2" t="n"/>
      <x:c r="I186" s="6" t="n"/>
      <x:c r="J186" s="6" t="n"/>
      <x:c r="K186" s="7" t="n"/>
      <x:c r="L186" s="7" t="n"/>
      <x:c r="M186" s="7" t="n"/>
      <x:c r="N186" s="7" t="n"/>
      <x:c r="O186" s="2" t="n"/>
      <x:c r="P186" s="7" t="n"/>
      <x:c r="Q186" s="7" t="n"/>
      <x:c r="R186" s="7" t="n"/>
      <x:c r="S186" s="7" t="n"/>
      <x:c r="T186" s="2" t="n"/>
      <x:c r="U186" s="7" t="n"/>
      <x:c r="V186" s="8">
        <x:f>IF(OR(U186="",O186="",K186=""),"", (U186-K186)*O186)</x:f>
      </x:c>
      <x:c r="W186" s="8">
        <x:f>IF(V186="","", V186-S186)</x:f>
      </x:c>
      <x:c r="X186" s="9">
        <x:f>IF(OR(W186="",N186=0),"", W186/N186)</x:f>
      </x:c>
      <x:c r="Y186" s="10">
        <x:f>IF(OR(W186="",Config!$B$2=0,Config!$B$1=0),"", W186/(Config!$B$1*Config!$B$2))</x:f>
      </x:c>
      <x:c r="Z186" s="2" t="inlineStr">
        <x:is>
          <x:t xml:space="preserve"/>
        </x:is>
      </x:c>
    </x:row>
    <x:row r="187">
      <x:c r="A187" s="2" t="n"/>
      <x:c r="B187" s="3" t="n"/>
      <x:c r="C187" s="2" t="n"/>
      <x:c r="D187" s="4" t="n"/>
      <x:c r="E187" s="2" t="n"/>
      <x:c r="F187" s="5" t="n"/>
      <x:c r="G187" s="5" t="n"/>
      <x:c r="H187" s="2" t="n"/>
      <x:c r="I187" s="6" t="n"/>
      <x:c r="J187" s="6" t="n"/>
      <x:c r="K187" s="7" t="n"/>
      <x:c r="L187" s="7" t="n"/>
      <x:c r="M187" s="7" t="n"/>
      <x:c r="N187" s="7" t="n"/>
      <x:c r="O187" s="2" t="n"/>
      <x:c r="P187" s="7" t="n"/>
      <x:c r="Q187" s="7" t="n"/>
      <x:c r="R187" s="7" t="n"/>
      <x:c r="S187" s="7" t="n"/>
      <x:c r="T187" s="2" t="n"/>
      <x:c r="U187" s="7" t="n"/>
      <x:c r="V187" s="8">
        <x:f>IF(OR(U187="",O187="",K187=""),"", (U187-K187)*O187)</x:f>
      </x:c>
      <x:c r="W187" s="8">
        <x:f>IF(V187="","", V187-S187)</x:f>
      </x:c>
      <x:c r="X187" s="9">
        <x:f>IF(OR(W187="",N187=0),"", W187/N187)</x:f>
      </x:c>
      <x:c r="Y187" s="10">
        <x:f>IF(OR(W187="",Config!$B$2=0,Config!$B$1=0),"", W187/(Config!$B$1*Config!$B$2))</x:f>
      </x:c>
      <x:c r="Z187" s="2" t="inlineStr">
        <x:is>
          <x:t xml:space="preserve"/>
        </x:is>
      </x:c>
    </x:row>
    <x:row r="188">
      <x:c r="A188" s="2" t="n"/>
      <x:c r="B188" s="3" t="n"/>
      <x:c r="C188" s="2" t="n"/>
      <x:c r="D188" s="4" t="n"/>
      <x:c r="E188" s="2" t="n"/>
      <x:c r="F188" s="5" t="n"/>
      <x:c r="G188" s="5" t="n"/>
      <x:c r="H188" s="2" t="n"/>
      <x:c r="I188" s="6" t="n"/>
      <x:c r="J188" s="6" t="n"/>
      <x:c r="K188" s="7" t="n"/>
      <x:c r="L188" s="7" t="n"/>
      <x:c r="M188" s="7" t="n"/>
      <x:c r="N188" s="7" t="n"/>
      <x:c r="O188" s="2" t="n"/>
      <x:c r="P188" s="7" t="n"/>
      <x:c r="Q188" s="7" t="n"/>
      <x:c r="R188" s="7" t="n"/>
      <x:c r="S188" s="7" t="n"/>
      <x:c r="T188" s="2" t="n"/>
      <x:c r="U188" s="7" t="n"/>
      <x:c r="V188" s="8">
        <x:f>IF(OR(U188="",O188="",K188=""),"", (U188-K188)*O188)</x:f>
      </x:c>
      <x:c r="W188" s="8">
        <x:f>IF(V188="","", V188-S188)</x:f>
      </x:c>
      <x:c r="X188" s="9">
        <x:f>IF(OR(W188="",N188=0),"", W188/N188)</x:f>
      </x:c>
      <x:c r="Y188" s="10">
        <x:f>IF(OR(W188="",Config!$B$2=0,Config!$B$1=0),"", W188/(Config!$B$1*Config!$B$2))</x:f>
      </x:c>
      <x:c r="Z188" s="2" t="inlineStr">
        <x:is>
          <x:t xml:space="preserve"/>
        </x:is>
      </x:c>
    </x:row>
    <x:row r="189">
      <x:c r="A189" s="2" t="n"/>
      <x:c r="B189" s="3" t="n"/>
      <x:c r="C189" s="2" t="n"/>
      <x:c r="D189" s="4" t="n"/>
      <x:c r="E189" s="2" t="n"/>
      <x:c r="F189" s="5" t="n"/>
      <x:c r="G189" s="5" t="n"/>
      <x:c r="H189" s="2" t="n"/>
      <x:c r="I189" s="6" t="n"/>
      <x:c r="J189" s="6" t="n"/>
      <x:c r="K189" s="7" t="n"/>
      <x:c r="L189" s="7" t="n"/>
      <x:c r="M189" s="7" t="n"/>
      <x:c r="N189" s="7" t="n"/>
      <x:c r="O189" s="2" t="n"/>
      <x:c r="P189" s="7" t="n"/>
      <x:c r="Q189" s="7" t="n"/>
      <x:c r="R189" s="7" t="n"/>
      <x:c r="S189" s="7" t="n"/>
      <x:c r="T189" s="2" t="n"/>
      <x:c r="U189" s="7" t="n"/>
      <x:c r="V189" s="8">
        <x:f>IF(OR(U189="",O189="",K189=""),"", (U189-K189)*O189)</x:f>
      </x:c>
      <x:c r="W189" s="8">
        <x:f>IF(V189="","", V189-S189)</x:f>
      </x:c>
      <x:c r="X189" s="9">
        <x:f>IF(OR(W189="",N189=0),"", W189/N189)</x:f>
      </x:c>
      <x:c r="Y189" s="10">
        <x:f>IF(OR(W189="",Config!$B$2=0,Config!$B$1=0),"", W189/(Config!$B$1*Config!$B$2))</x:f>
      </x:c>
      <x:c r="Z189" s="2" t="inlineStr">
        <x:is>
          <x:t xml:space="preserve"/>
        </x:is>
      </x:c>
    </x:row>
    <x:row r="190">
      <x:c r="A190" s="2" t="n"/>
      <x:c r="B190" s="3" t="n"/>
      <x:c r="C190" s="2" t="n"/>
      <x:c r="D190" s="4" t="n"/>
      <x:c r="E190" s="2" t="n"/>
      <x:c r="F190" s="5" t="n"/>
      <x:c r="G190" s="5" t="n"/>
      <x:c r="H190" s="2" t="n"/>
      <x:c r="I190" s="6" t="n"/>
      <x:c r="J190" s="6" t="n"/>
      <x:c r="K190" s="7" t="n"/>
      <x:c r="L190" s="7" t="n"/>
      <x:c r="M190" s="7" t="n"/>
      <x:c r="N190" s="7" t="n"/>
      <x:c r="O190" s="2" t="n"/>
      <x:c r="P190" s="7" t="n"/>
      <x:c r="Q190" s="7" t="n"/>
      <x:c r="R190" s="7" t="n"/>
      <x:c r="S190" s="7" t="n"/>
      <x:c r="T190" s="2" t="n"/>
      <x:c r="U190" s="7" t="n"/>
      <x:c r="V190" s="8">
        <x:f>IF(OR(U190="",O190="",K190=""),"", (U190-K190)*O190)</x:f>
      </x:c>
      <x:c r="W190" s="8">
        <x:f>IF(V190="","", V190-S190)</x:f>
      </x:c>
      <x:c r="X190" s="9">
        <x:f>IF(OR(W190="",N190=0),"", W190/N190)</x:f>
      </x:c>
      <x:c r="Y190" s="10">
        <x:f>IF(OR(W190="",Config!$B$2=0,Config!$B$1=0),"", W190/(Config!$B$1*Config!$B$2))</x:f>
      </x:c>
      <x:c r="Z190" s="2" t="inlineStr">
        <x:is>
          <x:t xml:space="preserve"/>
        </x:is>
      </x:c>
    </x:row>
    <x:row r="191">
      <x:c r="A191" s="2" t="n"/>
      <x:c r="B191" s="3" t="n"/>
      <x:c r="C191" s="2" t="n"/>
      <x:c r="D191" s="4" t="n"/>
      <x:c r="E191" s="2" t="n"/>
      <x:c r="F191" s="5" t="n"/>
      <x:c r="G191" s="5" t="n"/>
      <x:c r="H191" s="2" t="n"/>
      <x:c r="I191" s="6" t="n"/>
      <x:c r="J191" s="6" t="n"/>
      <x:c r="K191" s="7" t="n"/>
      <x:c r="L191" s="7" t="n"/>
      <x:c r="M191" s="7" t="n"/>
      <x:c r="N191" s="7" t="n"/>
      <x:c r="O191" s="2" t="n"/>
      <x:c r="P191" s="7" t="n"/>
      <x:c r="Q191" s="7" t="n"/>
      <x:c r="R191" s="7" t="n"/>
      <x:c r="S191" s="7" t="n"/>
      <x:c r="T191" s="2" t="n"/>
      <x:c r="U191" s="7" t="n"/>
      <x:c r="V191" s="8">
        <x:f>IF(OR(U191="",O191="",K191=""),"", (U191-K191)*O191)</x:f>
      </x:c>
      <x:c r="W191" s="8">
        <x:f>IF(V191="","", V191-S191)</x:f>
      </x:c>
      <x:c r="X191" s="9">
        <x:f>IF(OR(W191="",N191=0),"", W191/N191)</x:f>
      </x:c>
      <x:c r="Y191" s="10">
        <x:f>IF(OR(W191="",Config!$B$2=0,Config!$B$1=0),"", W191/(Config!$B$1*Config!$B$2))</x:f>
      </x:c>
      <x:c r="Z191" s="2" t="inlineStr">
        <x:is>
          <x:t xml:space="preserve"/>
        </x:is>
      </x:c>
    </x:row>
    <x:row r="192">
      <x:c r="A192" s="2" t="n"/>
      <x:c r="B192" s="3" t="n"/>
      <x:c r="C192" s="2" t="n"/>
      <x:c r="D192" s="4" t="n"/>
      <x:c r="E192" s="2" t="n"/>
      <x:c r="F192" s="5" t="n"/>
      <x:c r="G192" s="5" t="n"/>
      <x:c r="H192" s="2" t="n"/>
      <x:c r="I192" s="6" t="n"/>
      <x:c r="J192" s="6" t="n"/>
      <x:c r="K192" s="7" t="n"/>
      <x:c r="L192" s="7" t="n"/>
      <x:c r="M192" s="7" t="n"/>
      <x:c r="N192" s="7" t="n"/>
      <x:c r="O192" s="2" t="n"/>
      <x:c r="P192" s="7" t="n"/>
      <x:c r="Q192" s="7" t="n"/>
      <x:c r="R192" s="7" t="n"/>
      <x:c r="S192" s="7" t="n"/>
      <x:c r="T192" s="2" t="n"/>
      <x:c r="U192" s="7" t="n"/>
      <x:c r="V192" s="8">
        <x:f>IF(OR(U192="",O192="",K192=""),"", (U192-K192)*O192)</x:f>
      </x:c>
      <x:c r="W192" s="8">
        <x:f>IF(V192="","", V192-S192)</x:f>
      </x:c>
      <x:c r="X192" s="9">
        <x:f>IF(OR(W192="",N192=0),"", W192/N192)</x:f>
      </x:c>
      <x:c r="Y192" s="10">
        <x:f>IF(OR(W192="",Config!$B$2=0,Config!$B$1=0),"", W192/(Config!$B$1*Config!$B$2))</x:f>
      </x:c>
      <x:c r="Z192" s="2" t="inlineStr">
        <x:is>
          <x:t xml:space="preserve"/>
        </x:is>
      </x:c>
    </x:row>
    <x:row r="193">
      <x:c r="A193" s="2" t="n"/>
      <x:c r="B193" s="3" t="n"/>
      <x:c r="C193" s="2" t="n"/>
      <x:c r="D193" s="4" t="n"/>
      <x:c r="E193" s="2" t="n"/>
      <x:c r="F193" s="5" t="n"/>
      <x:c r="G193" s="5" t="n"/>
      <x:c r="H193" s="2" t="n"/>
      <x:c r="I193" s="6" t="n"/>
      <x:c r="J193" s="6" t="n"/>
      <x:c r="K193" s="7" t="n"/>
      <x:c r="L193" s="7" t="n"/>
      <x:c r="M193" s="7" t="n"/>
      <x:c r="N193" s="7" t="n"/>
      <x:c r="O193" s="2" t="n"/>
      <x:c r="P193" s="7" t="n"/>
      <x:c r="Q193" s="7" t="n"/>
      <x:c r="R193" s="7" t="n"/>
      <x:c r="S193" s="7" t="n"/>
      <x:c r="T193" s="2" t="n"/>
      <x:c r="U193" s="7" t="n"/>
      <x:c r="V193" s="8">
        <x:f>IF(OR(U193="",O193="",K193=""),"", (U193-K193)*O193)</x:f>
      </x:c>
      <x:c r="W193" s="8">
        <x:f>IF(V193="","", V193-S193)</x:f>
      </x:c>
      <x:c r="X193" s="9">
        <x:f>IF(OR(W193="",N193=0),"", W193/N193)</x:f>
      </x:c>
      <x:c r="Y193" s="10">
        <x:f>IF(OR(W193="",Config!$B$2=0,Config!$B$1=0),"", W193/(Config!$B$1*Config!$B$2))</x:f>
      </x:c>
      <x:c r="Z193" s="2" t="inlineStr">
        <x:is>
          <x:t xml:space="preserve"/>
        </x:is>
      </x:c>
    </x:row>
    <x:row r="194">
      <x:c r="A194" s="2" t="n"/>
      <x:c r="B194" s="3" t="n"/>
      <x:c r="C194" s="2" t="n"/>
      <x:c r="D194" s="4" t="n"/>
      <x:c r="E194" s="2" t="n"/>
      <x:c r="F194" s="5" t="n"/>
      <x:c r="G194" s="5" t="n"/>
      <x:c r="H194" s="2" t="n"/>
      <x:c r="I194" s="6" t="n"/>
      <x:c r="J194" s="6" t="n"/>
      <x:c r="K194" s="7" t="n"/>
      <x:c r="L194" s="7" t="n"/>
      <x:c r="M194" s="7" t="n"/>
      <x:c r="N194" s="7" t="n"/>
      <x:c r="O194" s="2" t="n"/>
      <x:c r="P194" s="7" t="n"/>
      <x:c r="Q194" s="7" t="n"/>
      <x:c r="R194" s="7" t="n"/>
      <x:c r="S194" s="7" t="n"/>
      <x:c r="T194" s="2" t="n"/>
      <x:c r="U194" s="7" t="n"/>
      <x:c r="V194" s="8">
        <x:f>IF(OR(U194="",O194="",K194=""),"", (U194-K194)*O194)</x:f>
      </x:c>
      <x:c r="W194" s="8">
        <x:f>IF(V194="","", V194-S194)</x:f>
      </x:c>
      <x:c r="X194" s="9">
        <x:f>IF(OR(W194="",N194=0),"", W194/N194)</x:f>
      </x:c>
      <x:c r="Y194" s="10">
        <x:f>IF(OR(W194="",Config!$B$2=0,Config!$B$1=0),"", W194/(Config!$B$1*Config!$B$2))</x:f>
      </x:c>
      <x:c r="Z194" s="2" t="inlineStr">
        <x:is>
          <x:t xml:space="preserve"/>
        </x:is>
      </x:c>
    </x:row>
    <x:row r="195">
      <x:c r="A195" s="2" t="n"/>
      <x:c r="B195" s="3" t="n"/>
      <x:c r="C195" s="2" t="n"/>
      <x:c r="D195" s="4" t="n"/>
      <x:c r="E195" s="2" t="n"/>
      <x:c r="F195" s="5" t="n"/>
      <x:c r="G195" s="5" t="n"/>
      <x:c r="H195" s="2" t="n"/>
      <x:c r="I195" s="6" t="n"/>
      <x:c r="J195" s="6" t="n"/>
      <x:c r="K195" s="7" t="n"/>
      <x:c r="L195" s="7" t="n"/>
      <x:c r="M195" s="7" t="n"/>
      <x:c r="N195" s="7" t="n"/>
      <x:c r="O195" s="2" t="n"/>
      <x:c r="P195" s="7" t="n"/>
      <x:c r="Q195" s="7" t="n"/>
      <x:c r="R195" s="7" t="n"/>
      <x:c r="S195" s="7" t="n"/>
      <x:c r="T195" s="2" t="n"/>
      <x:c r="U195" s="7" t="n"/>
      <x:c r="V195" s="8">
        <x:f>IF(OR(U195="",O195="",K195=""),"", (U195-K195)*O195)</x:f>
      </x:c>
      <x:c r="W195" s="8">
        <x:f>IF(V195="","", V195-S195)</x:f>
      </x:c>
      <x:c r="X195" s="9">
        <x:f>IF(OR(W195="",N195=0),"", W195/N195)</x:f>
      </x:c>
      <x:c r="Y195" s="10">
        <x:f>IF(OR(W195="",Config!$B$2=0,Config!$B$1=0),"", W195/(Config!$B$1*Config!$B$2))</x:f>
      </x:c>
      <x:c r="Z195" s="2" t="inlineStr">
        <x:is>
          <x:t xml:space="preserve"/>
        </x:is>
      </x:c>
    </x:row>
    <x:row r="196">
      <x:c r="A196" s="2" t="n"/>
      <x:c r="B196" s="3" t="n"/>
      <x:c r="C196" s="2" t="n"/>
      <x:c r="D196" s="4" t="n"/>
      <x:c r="E196" s="2" t="n"/>
      <x:c r="F196" s="5" t="n"/>
      <x:c r="G196" s="5" t="n"/>
      <x:c r="H196" s="2" t="n"/>
      <x:c r="I196" s="6" t="n"/>
      <x:c r="J196" s="6" t="n"/>
      <x:c r="K196" s="7" t="n"/>
      <x:c r="L196" s="7" t="n"/>
      <x:c r="M196" s="7" t="n"/>
      <x:c r="N196" s="7" t="n"/>
      <x:c r="O196" s="2" t="n"/>
      <x:c r="P196" s="7" t="n"/>
      <x:c r="Q196" s="7" t="n"/>
      <x:c r="R196" s="7" t="n"/>
      <x:c r="S196" s="7" t="n"/>
      <x:c r="T196" s="2" t="n"/>
      <x:c r="U196" s="7" t="n"/>
      <x:c r="V196" s="8">
        <x:f>IF(OR(U196="",O196="",K196=""),"", (U196-K196)*O196)</x:f>
      </x:c>
      <x:c r="W196" s="8">
        <x:f>IF(V196="","", V196-S196)</x:f>
      </x:c>
      <x:c r="X196" s="9">
        <x:f>IF(OR(W196="",N196=0),"", W196/N196)</x:f>
      </x:c>
      <x:c r="Y196" s="10">
        <x:f>IF(OR(W196="",Config!$B$2=0,Config!$B$1=0),"", W196/(Config!$B$1*Config!$B$2))</x:f>
      </x:c>
      <x:c r="Z196" s="2" t="inlineStr">
        <x:is>
          <x:t xml:space="preserve"/>
        </x:is>
      </x:c>
    </x:row>
    <x:row r="197">
      <x:c r="A197" s="2" t="n"/>
      <x:c r="B197" s="3" t="n"/>
      <x:c r="C197" s="2" t="n"/>
      <x:c r="D197" s="4" t="n"/>
      <x:c r="E197" s="2" t="n"/>
      <x:c r="F197" s="5" t="n"/>
      <x:c r="G197" s="5" t="n"/>
      <x:c r="H197" s="2" t="n"/>
      <x:c r="I197" s="6" t="n"/>
      <x:c r="J197" s="6" t="n"/>
      <x:c r="K197" s="7" t="n"/>
      <x:c r="L197" s="7" t="n"/>
      <x:c r="M197" s="7" t="n"/>
      <x:c r="N197" s="7" t="n"/>
      <x:c r="O197" s="2" t="n"/>
      <x:c r="P197" s="7" t="n"/>
      <x:c r="Q197" s="7" t="n"/>
      <x:c r="R197" s="7" t="n"/>
      <x:c r="S197" s="7" t="n"/>
      <x:c r="T197" s="2" t="n"/>
      <x:c r="U197" s="7" t="n"/>
      <x:c r="V197" s="8">
        <x:f>IF(OR(U197="",O197="",K197=""),"", (U197-K197)*O197)</x:f>
      </x:c>
      <x:c r="W197" s="8">
        <x:f>IF(V197="","", V197-S197)</x:f>
      </x:c>
      <x:c r="X197" s="9">
        <x:f>IF(OR(W197="",N197=0),"", W197/N197)</x:f>
      </x:c>
      <x:c r="Y197" s="10">
        <x:f>IF(OR(W197="",Config!$B$2=0,Config!$B$1=0),"", W197/(Config!$B$1*Config!$B$2))</x:f>
      </x:c>
      <x:c r="Z197" s="2" t="inlineStr">
        <x:is>
          <x:t xml:space="preserve"/>
        </x:is>
      </x:c>
    </x:row>
    <x:row r="198">
      <x:c r="A198" s="2" t="n"/>
      <x:c r="B198" s="3" t="n"/>
      <x:c r="C198" s="2" t="n"/>
      <x:c r="D198" s="4" t="n"/>
      <x:c r="E198" s="2" t="n"/>
      <x:c r="F198" s="5" t="n"/>
      <x:c r="G198" s="5" t="n"/>
      <x:c r="H198" s="2" t="n"/>
      <x:c r="I198" s="6" t="n"/>
      <x:c r="J198" s="6" t="n"/>
      <x:c r="K198" s="7" t="n"/>
      <x:c r="L198" s="7" t="n"/>
      <x:c r="M198" s="7" t="n"/>
      <x:c r="N198" s="7" t="n"/>
      <x:c r="O198" s="2" t="n"/>
      <x:c r="P198" s="7" t="n"/>
      <x:c r="Q198" s="7" t="n"/>
      <x:c r="R198" s="7" t="n"/>
      <x:c r="S198" s="7" t="n"/>
      <x:c r="T198" s="2" t="n"/>
      <x:c r="U198" s="7" t="n"/>
      <x:c r="V198" s="8">
        <x:f>IF(OR(U198="",O198="",K198=""),"", (U198-K198)*O198)</x:f>
      </x:c>
      <x:c r="W198" s="8">
        <x:f>IF(V198="","", V198-S198)</x:f>
      </x:c>
      <x:c r="X198" s="9">
        <x:f>IF(OR(W198="",N198=0),"", W198/N198)</x:f>
      </x:c>
      <x:c r="Y198" s="10">
        <x:f>IF(OR(W198="",Config!$B$2=0,Config!$B$1=0),"", W198/(Config!$B$1*Config!$B$2))</x:f>
      </x:c>
      <x:c r="Z198" s="2" t="inlineStr">
        <x:is>
          <x:t xml:space="preserve"/>
        </x:is>
      </x:c>
    </x:row>
    <x:row r="199">
      <x:c r="A199" s="2" t="n"/>
      <x:c r="B199" s="3" t="n"/>
      <x:c r="C199" s="2" t="n"/>
      <x:c r="D199" s="4" t="n"/>
      <x:c r="E199" s="2" t="n"/>
      <x:c r="F199" s="5" t="n"/>
      <x:c r="G199" s="5" t="n"/>
      <x:c r="H199" s="2" t="n"/>
      <x:c r="I199" s="6" t="n"/>
      <x:c r="J199" s="6" t="n"/>
      <x:c r="K199" s="7" t="n"/>
      <x:c r="L199" s="7" t="n"/>
      <x:c r="M199" s="7" t="n"/>
      <x:c r="N199" s="7" t="n"/>
      <x:c r="O199" s="2" t="n"/>
      <x:c r="P199" s="7" t="n"/>
      <x:c r="Q199" s="7" t="n"/>
      <x:c r="R199" s="7" t="n"/>
      <x:c r="S199" s="7" t="n"/>
      <x:c r="T199" s="2" t="n"/>
      <x:c r="U199" s="7" t="n"/>
      <x:c r="V199" s="8">
        <x:f>IF(OR(U199="",O199="",K199=""),"", (U199-K199)*O199)</x:f>
      </x:c>
      <x:c r="W199" s="8">
        <x:f>IF(V199="","", V199-S199)</x:f>
      </x:c>
      <x:c r="X199" s="9">
        <x:f>IF(OR(W199="",N199=0),"", W199/N199)</x:f>
      </x:c>
      <x:c r="Y199" s="10">
        <x:f>IF(OR(W199="",Config!$B$2=0,Config!$B$1=0),"", W199/(Config!$B$1*Config!$B$2))</x:f>
      </x:c>
      <x:c r="Z199" s="2" t="inlineStr">
        <x:is>
          <x:t xml:space="preserve"/>
        </x:is>
      </x:c>
    </x:row>
    <x:row r="200">
      <x:c r="A200" s="2" t="n"/>
      <x:c r="B200" s="3" t="n"/>
      <x:c r="C200" s="2" t="n"/>
      <x:c r="D200" s="4" t="n"/>
      <x:c r="E200" s="2" t="n"/>
      <x:c r="F200" s="5" t="n"/>
      <x:c r="G200" s="5" t="n"/>
      <x:c r="H200" s="2" t="n"/>
      <x:c r="I200" s="6" t="n"/>
      <x:c r="J200" s="6" t="n"/>
      <x:c r="K200" s="7" t="n"/>
      <x:c r="L200" s="7" t="n"/>
      <x:c r="M200" s="7" t="n"/>
      <x:c r="N200" s="7" t="n"/>
      <x:c r="O200" s="2" t="n"/>
      <x:c r="P200" s="7" t="n"/>
      <x:c r="Q200" s="7" t="n"/>
      <x:c r="R200" s="7" t="n"/>
      <x:c r="S200" s="7" t="n"/>
      <x:c r="T200" s="2" t="n"/>
      <x:c r="U200" s="7" t="n"/>
      <x:c r="V200" s="8">
        <x:f>IF(OR(U200="",O200="",K200=""),"", (U200-K200)*O200)</x:f>
      </x:c>
      <x:c r="W200" s="8">
        <x:f>IF(V200="","", V200-S200)</x:f>
      </x:c>
      <x:c r="X200" s="9">
        <x:f>IF(OR(W200="",N200=0),"", W200/N200)</x:f>
      </x:c>
      <x:c r="Y200" s="10">
        <x:f>IF(OR(W200="",Config!$B$2=0,Config!$B$1=0),"", W200/(Config!$B$1*Config!$B$2))</x:f>
      </x:c>
      <x:c r="Z200" s="2" t="inlineStr">
        <x:is>
          <x:t xml:space="preserve"/>
        </x:is>
      </x:c>
    </x:row>
    <x:row r="201">
      <x:c r="A201" s="2" t="n"/>
      <x:c r="B201" s="3" t="n"/>
      <x:c r="C201" s="2" t="n"/>
      <x:c r="D201" s="4" t="n"/>
      <x:c r="E201" s="2" t="n"/>
      <x:c r="F201" s="5" t="n"/>
      <x:c r="G201" s="5" t="n"/>
      <x:c r="H201" s="2" t="n"/>
      <x:c r="I201" s="6" t="n"/>
      <x:c r="J201" s="6" t="n"/>
      <x:c r="K201" s="7" t="n"/>
      <x:c r="L201" s="7" t="n"/>
      <x:c r="M201" s="7" t="n"/>
      <x:c r="N201" s="7" t="n"/>
      <x:c r="O201" s="2" t="n"/>
      <x:c r="P201" s="7" t="n"/>
      <x:c r="Q201" s="7" t="n"/>
      <x:c r="R201" s="7" t="n"/>
      <x:c r="S201" s="7" t="n"/>
      <x:c r="T201" s="2" t="n"/>
      <x:c r="U201" s="7" t="n"/>
      <x:c r="V201" s="8">
        <x:f>IF(OR(U201="",O201="",K201=""),"", (U201-K201)*O201)</x:f>
      </x:c>
      <x:c r="W201" s="8">
        <x:f>IF(V201="","", V201-S201)</x:f>
      </x:c>
      <x:c r="X201" s="9">
        <x:f>IF(OR(W201="",N201=0),"", W201/N201)</x:f>
      </x:c>
      <x:c r="Y201" s="10">
        <x:f>IF(OR(W201="",Config!$B$2=0,Config!$B$1=0),"", W201/(Config!$B$1*Config!$B$2))</x:f>
      </x:c>
      <x:c r="Z201" s="2" t="inlineStr">
        <x:is>
          <x:t xml:space="preserve"/>
        </x:is>
      </x:c>
    </x:row>
    <x:row r="202">
      <x:c r="A202" s="2" t="n"/>
      <x:c r="B202" s="3" t="n"/>
      <x:c r="C202" s="2" t="n"/>
      <x:c r="D202" s="4" t="n"/>
      <x:c r="E202" s="2" t="n"/>
      <x:c r="F202" s="5" t="n"/>
      <x:c r="G202" s="5" t="n"/>
      <x:c r="H202" s="2" t="n"/>
      <x:c r="I202" s="6" t="n"/>
      <x:c r="J202" s="6" t="n"/>
      <x:c r="K202" s="7" t="n"/>
      <x:c r="L202" s="7" t="n"/>
      <x:c r="M202" s="7" t="n"/>
      <x:c r="N202" s="7" t="n"/>
      <x:c r="O202" s="2" t="n"/>
      <x:c r="P202" s="7" t="n"/>
      <x:c r="Q202" s="7" t="n"/>
      <x:c r="R202" s="7" t="n"/>
      <x:c r="S202" s="7" t="n"/>
      <x:c r="T202" s="2" t="n"/>
      <x:c r="U202" s="7" t="n"/>
      <x:c r="V202" s="8">
        <x:f>IF(OR(U202="",O202="",K202=""),"", (U202-K202)*O202)</x:f>
      </x:c>
      <x:c r="W202" s="8">
        <x:f>IF(V202="","", V202-S202)</x:f>
      </x:c>
      <x:c r="X202" s="9">
        <x:f>IF(OR(W202="",N202=0),"", W202/N202)</x:f>
      </x:c>
      <x:c r="Y202" s="10">
        <x:f>IF(OR(W202="",Config!$B$2=0,Config!$B$1=0),"", W202/(Config!$B$1*Config!$B$2))</x:f>
      </x:c>
      <x:c r="Z202" s="2" t="inlineStr">
        <x:is>
          <x:t xml:space="preserve"/>
        </x:is>
      </x:c>
    </x:row>
    <x:row r="203">
      <x:c r="A203" s="2" t="n"/>
      <x:c r="B203" s="3" t="n"/>
      <x:c r="C203" s="2" t="n"/>
      <x:c r="D203" s="4" t="n"/>
      <x:c r="E203" s="2" t="n"/>
      <x:c r="F203" s="5" t="n"/>
      <x:c r="G203" s="5" t="n"/>
      <x:c r="H203" s="2" t="n"/>
      <x:c r="I203" s="6" t="n"/>
      <x:c r="J203" s="6" t="n"/>
      <x:c r="K203" s="7" t="n"/>
      <x:c r="L203" s="7" t="n"/>
      <x:c r="M203" s="7" t="n"/>
      <x:c r="N203" s="7" t="n"/>
      <x:c r="O203" s="2" t="n"/>
      <x:c r="P203" s="7" t="n"/>
      <x:c r="Q203" s="7" t="n"/>
      <x:c r="R203" s="7" t="n"/>
      <x:c r="S203" s="7" t="n"/>
      <x:c r="T203" s="2" t="n"/>
      <x:c r="U203" s="7" t="n"/>
      <x:c r="V203" s="8">
        <x:f>IF(OR(U203="",O203="",K203=""),"", (U203-K203)*O203)</x:f>
      </x:c>
      <x:c r="W203" s="8">
        <x:f>IF(V203="","", V203-S203)</x:f>
      </x:c>
      <x:c r="X203" s="9">
        <x:f>IF(OR(W203="",N203=0),"", W203/N203)</x:f>
      </x:c>
      <x:c r="Y203" s="10">
        <x:f>IF(OR(W203="",Config!$B$2=0,Config!$B$1=0),"", W203/(Config!$B$1*Config!$B$2))</x:f>
      </x:c>
      <x:c r="Z203" s="2" t="inlineStr">
        <x:is>
          <x:t xml:space="preserve"/>
        </x:is>
      </x:c>
    </x:row>
    <x:row r="204">
      <x:c r="A204" s="2" t="n"/>
      <x:c r="B204" s="3" t="n"/>
      <x:c r="C204" s="2" t="n"/>
      <x:c r="D204" s="4" t="n"/>
      <x:c r="E204" s="2" t="n"/>
      <x:c r="F204" s="5" t="n"/>
      <x:c r="G204" s="5" t="n"/>
      <x:c r="H204" s="2" t="n"/>
      <x:c r="I204" s="6" t="n"/>
      <x:c r="J204" s="6" t="n"/>
      <x:c r="K204" s="7" t="n"/>
      <x:c r="L204" s="7" t="n"/>
      <x:c r="M204" s="7" t="n"/>
      <x:c r="N204" s="7" t="n"/>
      <x:c r="O204" s="2" t="n"/>
      <x:c r="P204" s="7" t="n"/>
      <x:c r="Q204" s="7" t="n"/>
      <x:c r="R204" s="7" t="n"/>
      <x:c r="S204" s="7" t="n"/>
      <x:c r="T204" s="2" t="n"/>
      <x:c r="U204" s="7" t="n"/>
      <x:c r="V204" s="8">
        <x:f>IF(OR(U204="",O204="",K204=""),"", (U204-K204)*O204)</x:f>
      </x:c>
      <x:c r="W204" s="8">
        <x:f>IF(V204="","", V204-S204)</x:f>
      </x:c>
      <x:c r="X204" s="9">
        <x:f>IF(OR(W204="",N204=0),"", W204/N204)</x:f>
      </x:c>
      <x:c r="Y204" s="10">
        <x:f>IF(OR(W204="",Config!$B$2=0,Config!$B$1=0),"", W204/(Config!$B$1*Config!$B$2))</x:f>
      </x:c>
      <x:c r="Z204" s="2" t="inlineStr">
        <x:is>
          <x:t xml:space="preserve"/>
        </x:is>
      </x:c>
    </x:row>
    <x:row r="205">
      <x:c r="A205" s="2" t="n"/>
      <x:c r="B205" s="3" t="n"/>
      <x:c r="C205" s="2" t="n"/>
      <x:c r="D205" s="4" t="n"/>
      <x:c r="E205" s="2" t="n"/>
      <x:c r="F205" s="5" t="n"/>
      <x:c r="G205" s="5" t="n"/>
      <x:c r="H205" s="2" t="n"/>
      <x:c r="I205" s="6" t="n"/>
      <x:c r="J205" s="6" t="n"/>
      <x:c r="K205" s="7" t="n"/>
      <x:c r="L205" s="7" t="n"/>
      <x:c r="M205" s="7" t="n"/>
      <x:c r="N205" s="7" t="n"/>
      <x:c r="O205" s="2" t="n"/>
      <x:c r="P205" s="7" t="n"/>
      <x:c r="Q205" s="7" t="n"/>
      <x:c r="R205" s="7" t="n"/>
      <x:c r="S205" s="7" t="n"/>
      <x:c r="T205" s="2" t="n"/>
      <x:c r="U205" s="7" t="n"/>
      <x:c r="V205" s="8">
        <x:f>IF(OR(U205="",O205="",K205=""),"", (U205-K205)*O205)</x:f>
      </x:c>
      <x:c r="W205" s="8">
        <x:f>IF(V205="","", V205-S205)</x:f>
      </x:c>
      <x:c r="X205" s="9">
        <x:f>IF(OR(W205="",N205=0),"", W205/N205)</x:f>
      </x:c>
      <x:c r="Y205" s="10">
        <x:f>IF(OR(W205="",Config!$B$2=0,Config!$B$1=0),"", W205/(Config!$B$1*Config!$B$2))</x:f>
      </x:c>
      <x:c r="Z205" s="2" t="inlineStr">
        <x:is>
          <x:t xml:space="preserve"/>
        </x:is>
      </x:c>
    </x:row>
    <x:row r="206">
      <x:c r="A206" s="2" t="n"/>
      <x:c r="B206" s="3" t="n"/>
      <x:c r="C206" s="2" t="n"/>
      <x:c r="D206" s="4" t="n"/>
      <x:c r="E206" s="2" t="n"/>
      <x:c r="F206" s="5" t="n"/>
      <x:c r="G206" s="5" t="n"/>
      <x:c r="H206" s="2" t="n"/>
      <x:c r="I206" s="6" t="n"/>
      <x:c r="J206" s="6" t="n"/>
      <x:c r="K206" s="7" t="n"/>
      <x:c r="L206" s="7" t="n"/>
      <x:c r="M206" s="7" t="n"/>
      <x:c r="N206" s="7" t="n"/>
      <x:c r="O206" s="2" t="n"/>
      <x:c r="P206" s="7" t="n"/>
      <x:c r="Q206" s="7" t="n"/>
      <x:c r="R206" s="7" t="n"/>
      <x:c r="S206" s="7" t="n"/>
      <x:c r="T206" s="2" t="n"/>
      <x:c r="U206" s="7" t="n"/>
      <x:c r="V206" s="8">
        <x:f>IF(OR(U206="",O206="",K206=""),"", (U206-K206)*O206)</x:f>
      </x:c>
      <x:c r="W206" s="8">
        <x:f>IF(V206="","", V206-S206)</x:f>
      </x:c>
      <x:c r="X206" s="9">
        <x:f>IF(OR(W206="",N206=0),"", W206/N206)</x:f>
      </x:c>
      <x:c r="Y206" s="10">
        <x:f>IF(OR(W206="",Config!$B$2=0,Config!$B$1=0),"", W206/(Config!$B$1*Config!$B$2))</x:f>
      </x:c>
      <x:c r="Z206" s="2" t="inlineStr">
        <x:is>
          <x:t xml:space="preserve"/>
        </x:is>
      </x:c>
    </x:row>
    <x:row r="207">
      <x:c r="A207" s="2" t="n"/>
      <x:c r="B207" s="3" t="n"/>
      <x:c r="C207" s="2" t="n"/>
      <x:c r="D207" s="4" t="n"/>
      <x:c r="E207" s="2" t="n"/>
      <x:c r="F207" s="5" t="n"/>
      <x:c r="G207" s="5" t="n"/>
      <x:c r="H207" s="2" t="n"/>
      <x:c r="I207" s="6" t="n"/>
      <x:c r="J207" s="6" t="n"/>
      <x:c r="K207" s="7" t="n"/>
      <x:c r="L207" s="7" t="n"/>
      <x:c r="M207" s="7" t="n"/>
      <x:c r="N207" s="7" t="n"/>
      <x:c r="O207" s="2" t="n"/>
      <x:c r="P207" s="7" t="n"/>
      <x:c r="Q207" s="7" t="n"/>
      <x:c r="R207" s="7" t="n"/>
      <x:c r="S207" s="7" t="n"/>
      <x:c r="T207" s="2" t="n"/>
      <x:c r="U207" s="7" t="n"/>
      <x:c r="V207" s="8">
        <x:f>IF(OR(U207="",O207="",K207=""),"", (U207-K207)*O207)</x:f>
      </x:c>
      <x:c r="W207" s="8">
        <x:f>IF(V207="","", V207-S207)</x:f>
      </x:c>
      <x:c r="X207" s="9">
        <x:f>IF(OR(W207="",N207=0),"", W207/N207)</x:f>
      </x:c>
      <x:c r="Y207" s="10">
        <x:f>IF(OR(W207="",Config!$B$2=0,Config!$B$1=0),"", W207/(Config!$B$1*Config!$B$2))</x:f>
      </x:c>
      <x:c r="Z207" s="2" t="inlineStr">
        <x:is>
          <x:t xml:space="preserve"/>
        </x:is>
      </x:c>
    </x:row>
    <x:row r="208">
      <x:c r="A208" s="2" t="n"/>
      <x:c r="B208" s="3" t="n"/>
      <x:c r="C208" s="2" t="n"/>
      <x:c r="D208" s="4" t="n"/>
      <x:c r="E208" s="2" t="n"/>
      <x:c r="F208" s="5" t="n"/>
      <x:c r="G208" s="5" t="n"/>
      <x:c r="H208" s="2" t="n"/>
      <x:c r="I208" s="6" t="n"/>
      <x:c r="J208" s="6" t="n"/>
      <x:c r="K208" s="7" t="n"/>
      <x:c r="L208" s="7" t="n"/>
      <x:c r="M208" s="7" t="n"/>
      <x:c r="N208" s="7" t="n"/>
      <x:c r="O208" s="2" t="n"/>
      <x:c r="P208" s="7" t="n"/>
      <x:c r="Q208" s="7" t="n"/>
      <x:c r="R208" s="7" t="n"/>
      <x:c r="S208" s="7" t="n"/>
      <x:c r="T208" s="2" t="n"/>
      <x:c r="U208" s="7" t="n"/>
      <x:c r="V208" s="8">
        <x:f>IF(OR(U208="",O208="",K208=""),"", (U208-K208)*O208)</x:f>
      </x:c>
      <x:c r="W208" s="8">
        <x:f>IF(V208="","", V208-S208)</x:f>
      </x:c>
      <x:c r="X208" s="9">
        <x:f>IF(OR(W208="",N208=0),"", W208/N208)</x:f>
      </x:c>
      <x:c r="Y208" s="10">
        <x:f>IF(OR(W208="",Config!$B$2=0,Config!$B$1=0),"", W208/(Config!$B$1*Config!$B$2))</x:f>
      </x:c>
      <x:c r="Z208" s="2" t="inlineStr">
        <x:is>
          <x:t xml:space="preserve"/>
        </x:is>
      </x:c>
    </x:row>
    <x:row r="209">
      <x:c r="A209" s="2" t="n"/>
      <x:c r="B209" s="3" t="n"/>
      <x:c r="C209" s="2" t="n"/>
      <x:c r="D209" s="4" t="n"/>
      <x:c r="E209" s="2" t="n"/>
      <x:c r="F209" s="5" t="n"/>
      <x:c r="G209" s="5" t="n"/>
      <x:c r="H209" s="2" t="n"/>
      <x:c r="I209" s="6" t="n"/>
      <x:c r="J209" s="6" t="n"/>
      <x:c r="K209" s="7" t="n"/>
      <x:c r="L209" s="7" t="n"/>
      <x:c r="M209" s="7" t="n"/>
      <x:c r="N209" s="7" t="n"/>
      <x:c r="O209" s="2" t="n"/>
      <x:c r="P209" s="7" t="n"/>
      <x:c r="Q209" s="7" t="n"/>
      <x:c r="R209" s="7" t="n"/>
      <x:c r="S209" s="7" t="n"/>
      <x:c r="T209" s="2" t="n"/>
      <x:c r="U209" s="7" t="n"/>
      <x:c r="V209" s="8">
        <x:f>IF(OR(U209="",O209="",K209=""),"", (U209-K209)*O209)</x:f>
      </x:c>
      <x:c r="W209" s="8">
        <x:f>IF(V209="","", V209-S209)</x:f>
      </x:c>
      <x:c r="X209" s="9">
        <x:f>IF(OR(W209="",N209=0),"", W209/N209)</x:f>
      </x:c>
      <x:c r="Y209" s="10">
        <x:f>IF(OR(W209="",Config!$B$2=0,Config!$B$1=0),"", W209/(Config!$B$1*Config!$B$2))</x:f>
      </x:c>
      <x:c r="Z209" s="2" t="inlineStr">
        <x:is>
          <x:t xml:space="preserve"/>
        </x:is>
      </x:c>
    </x:row>
    <x:row r="210">
      <x:c r="A210" s="2" t="n"/>
      <x:c r="B210" s="3" t="n"/>
      <x:c r="C210" s="2" t="n"/>
      <x:c r="D210" s="4" t="n"/>
      <x:c r="E210" s="2" t="n"/>
      <x:c r="F210" s="5" t="n"/>
      <x:c r="G210" s="5" t="n"/>
      <x:c r="H210" s="2" t="n"/>
      <x:c r="I210" s="6" t="n"/>
      <x:c r="J210" s="6" t="n"/>
      <x:c r="K210" s="7" t="n"/>
      <x:c r="L210" s="7" t="n"/>
      <x:c r="M210" s="7" t="n"/>
      <x:c r="N210" s="7" t="n"/>
      <x:c r="O210" s="2" t="n"/>
      <x:c r="P210" s="7" t="n"/>
      <x:c r="Q210" s="7" t="n"/>
      <x:c r="R210" s="7" t="n"/>
      <x:c r="S210" s="7" t="n"/>
      <x:c r="T210" s="2" t="n"/>
      <x:c r="U210" s="7" t="n"/>
      <x:c r="V210" s="8">
        <x:f>IF(OR(U210="",O210="",K210=""),"", (U210-K210)*O210)</x:f>
      </x:c>
      <x:c r="W210" s="8">
        <x:f>IF(V210="","", V210-S210)</x:f>
      </x:c>
      <x:c r="X210" s="9">
        <x:f>IF(OR(W210="",N210=0),"", W210/N210)</x:f>
      </x:c>
      <x:c r="Y210" s="10">
        <x:f>IF(OR(W210="",Config!$B$2=0,Config!$B$1=0),"", W210/(Config!$B$1*Config!$B$2))</x:f>
      </x:c>
      <x:c r="Z210" s="2" t="inlineStr">
        <x:is>
          <x:t xml:space="preserve"/>
        </x:is>
      </x:c>
    </x:row>
    <x:row r="211">
      <x:c r="A211" s="2" t="n"/>
      <x:c r="B211" s="3" t="n"/>
      <x:c r="C211" s="2" t="n"/>
      <x:c r="D211" s="4" t="n"/>
      <x:c r="E211" s="2" t="n"/>
      <x:c r="F211" s="5" t="n"/>
      <x:c r="G211" s="5" t="n"/>
      <x:c r="H211" s="2" t="n"/>
      <x:c r="I211" s="6" t="n"/>
      <x:c r="J211" s="6" t="n"/>
      <x:c r="K211" s="7" t="n"/>
      <x:c r="L211" s="7" t="n"/>
      <x:c r="M211" s="7" t="n"/>
      <x:c r="N211" s="7" t="n"/>
      <x:c r="O211" s="2" t="n"/>
      <x:c r="P211" s="7" t="n"/>
      <x:c r="Q211" s="7" t="n"/>
      <x:c r="R211" s="7" t="n"/>
      <x:c r="S211" s="7" t="n"/>
      <x:c r="T211" s="2" t="n"/>
      <x:c r="U211" s="7" t="n"/>
      <x:c r="V211" s="8">
        <x:f>IF(OR(U211="",O211="",K211=""),"", (U211-K211)*O211)</x:f>
      </x:c>
      <x:c r="W211" s="8">
        <x:f>IF(V211="","", V211-S211)</x:f>
      </x:c>
      <x:c r="X211" s="9">
        <x:f>IF(OR(W211="",N211=0),"", W211/N211)</x:f>
      </x:c>
      <x:c r="Y211" s="10">
        <x:f>IF(OR(W211="",Config!$B$2=0,Config!$B$1=0),"", W211/(Config!$B$1*Config!$B$2))</x:f>
      </x:c>
      <x:c r="Z211" s="2" t="inlineStr">
        <x:is>
          <x:t xml:space="preserve"/>
        </x:is>
      </x:c>
    </x:row>
    <x:row r="212">
      <x:c r="A212" s="2" t="n"/>
      <x:c r="B212" s="3" t="n"/>
      <x:c r="C212" s="2" t="n"/>
      <x:c r="D212" s="4" t="n"/>
      <x:c r="E212" s="2" t="n"/>
      <x:c r="F212" s="5" t="n"/>
      <x:c r="G212" s="5" t="n"/>
      <x:c r="H212" s="2" t="n"/>
      <x:c r="I212" s="6" t="n"/>
      <x:c r="J212" s="6" t="n"/>
      <x:c r="K212" s="7" t="n"/>
      <x:c r="L212" s="7" t="n"/>
      <x:c r="M212" s="7" t="n"/>
      <x:c r="N212" s="7" t="n"/>
      <x:c r="O212" s="2" t="n"/>
      <x:c r="P212" s="7" t="n"/>
      <x:c r="Q212" s="7" t="n"/>
      <x:c r="R212" s="7" t="n"/>
      <x:c r="S212" s="7" t="n"/>
      <x:c r="T212" s="2" t="n"/>
      <x:c r="U212" s="7" t="n"/>
      <x:c r="V212" s="8">
        <x:f>IF(OR(U212="",O212="",K212=""),"", (U212-K212)*O212)</x:f>
      </x:c>
      <x:c r="W212" s="8">
        <x:f>IF(V212="","", V212-S212)</x:f>
      </x:c>
      <x:c r="X212" s="9">
        <x:f>IF(OR(W212="",N212=0),"", W212/N212)</x:f>
      </x:c>
      <x:c r="Y212" s="10">
        <x:f>IF(OR(W212="",Config!$B$2=0,Config!$B$1=0),"", W212/(Config!$B$1*Config!$B$2))</x:f>
      </x:c>
      <x:c r="Z212" s="2" t="inlineStr">
        <x:is>
          <x:t xml:space="preserve"/>
        </x:is>
      </x:c>
    </x:row>
    <x:row r="213">
      <x:c r="A213" s="2" t="n"/>
      <x:c r="B213" s="3" t="n"/>
      <x:c r="C213" s="2" t="n"/>
      <x:c r="D213" s="4" t="n"/>
      <x:c r="E213" s="2" t="n"/>
      <x:c r="F213" s="5" t="n"/>
      <x:c r="G213" s="5" t="n"/>
      <x:c r="H213" s="2" t="n"/>
      <x:c r="I213" s="6" t="n"/>
      <x:c r="J213" s="6" t="n"/>
      <x:c r="K213" s="7" t="n"/>
      <x:c r="L213" s="7" t="n"/>
      <x:c r="M213" s="7" t="n"/>
      <x:c r="N213" s="7" t="n"/>
      <x:c r="O213" s="2" t="n"/>
      <x:c r="P213" s="7" t="n"/>
      <x:c r="Q213" s="7" t="n"/>
      <x:c r="R213" s="7" t="n"/>
      <x:c r="S213" s="7" t="n"/>
      <x:c r="T213" s="2" t="n"/>
      <x:c r="U213" s="7" t="n"/>
      <x:c r="V213" s="8">
        <x:f>IF(OR(U213="",O213="",K213=""),"", (U213-K213)*O213)</x:f>
      </x:c>
      <x:c r="W213" s="8">
        <x:f>IF(V213="","", V213-S213)</x:f>
      </x:c>
      <x:c r="X213" s="9">
        <x:f>IF(OR(W213="",N213=0),"", W213/N213)</x:f>
      </x:c>
      <x:c r="Y213" s="10">
        <x:f>IF(OR(W213="",Config!$B$2=0,Config!$B$1=0),"", W213/(Config!$B$1*Config!$B$2))</x:f>
      </x:c>
      <x:c r="Z213" s="2" t="inlineStr">
        <x:is>
          <x:t xml:space="preserve"/>
        </x:is>
      </x:c>
    </x:row>
    <x:row r="214">
      <x:c r="A214" s="2" t="n"/>
      <x:c r="B214" s="3" t="n"/>
      <x:c r="C214" s="2" t="n"/>
      <x:c r="D214" s="4" t="n"/>
      <x:c r="E214" s="2" t="n"/>
      <x:c r="F214" s="5" t="n"/>
      <x:c r="G214" s="5" t="n"/>
      <x:c r="H214" s="2" t="n"/>
      <x:c r="I214" s="6" t="n"/>
      <x:c r="J214" s="6" t="n"/>
      <x:c r="K214" s="7" t="n"/>
      <x:c r="L214" s="7" t="n"/>
      <x:c r="M214" s="7" t="n"/>
      <x:c r="N214" s="7" t="n"/>
      <x:c r="O214" s="2" t="n"/>
      <x:c r="P214" s="7" t="n"/>
      <x:c r="Q214" s="7" t="n"/>
      <x:c r="R214" s="7" t="n"/>
      <x:c r="S214" s="7" t="n"/>
      <x:c r="T214" s="2" t="n"/>
      <x:c r="U214" s="7" t="n"/>
      <x:c r="V214" s="8">
        <x:f>IF(OR(U214="",O214="",K214=""),"", (U214-K214)*O214)</x:f>
      </x:c>
      <x:c r="W214" s="8">
        <x:f>IF(V214="","", V214-S214)</x:f>
      </x:c>
      <x:c r="X214" s="9">
        <x:f>IF(OR(W214="",N214=0),"", W214/N214)</x:f>
      </x:c>
      <x:c r="Y214" s="10">
        <x:f>IF(OR(W214="",Config!$B$2=0,Config!$B$1=0),"", W214/(Config!$B$1*Config!$B$2))</x:f>
      </x:c>
      <x:c r="Z214" s="2" t="inlineStr">
        <x:is>
          <x:t xml:space="preserve"/>
        </x:is>
      </x:c>
    </x:row>
    <x:row r="215">
      <x:c r="A215" s="2" t="n"/>
      <x:c r="B215" s="3" t="n"/>
      <x:c r="C215" s="2" t="n"/>
      <x:c r="D215" s="4" t="n"/>
      <x:c r="E215" s="2" t="n"/>
      <x:c r="F215" s="5" t="n"/>
      <x:c r="G215" s="5" t="n"/>
      <x:c r="H215" s="2" t="n"/>
      <x:c r="I215" s="6" t="n"/>
      <x:c r="J215" s="6" t="n"/>
      <x:c r="K215" s="7" t="n"/>
      <x:c r="L215" s="7" t="n"/>
      <x:c r="M215" s="7" t="n"/>
      <x:c r="N215" s="7" t="n"/>
      <x:c r="O215" s="2" t="n"/>
      <x:c r="P215" s="7" t="n"/>
      <x:c r="Q215" s="7" t="n"/>
      <x:c r="R215" s="7" t="n"/>
      <x:c r="S215" s="7" t="n"/>
      <x:c r="T215" s="2" t="n"/>
      <x:c r="U215" s="7" t="n"/>
      <x:c r="V215" s="8">
        <x:f>IF(OR(U215="",O215="",K215=""),"", (U215-K215)*O215)</x:f>
      </x:c>
      <x:c r="W215" s="8">
        <x:f>IF(V215="","", V215-S215)</x:f>
      </x:c>
      <x:c r="X215" s="9">
        <x:f>IF(OR(W215="",N215=0),"", W215/N215)</x:f>
      </x:c>
      <x:c r="Y215" s="10">
        <x:f>IF(OR(W215="",Config!$B$2=0,Config!$B$1=0),"", W215/(Config!$B$1*Config!$B$2))</x:f>
      </x:c>
      <x:c r="Z215" s="2" t="inlineStr">
        <x:is>
          <x:t xml:space="preserve"/>
        </x:is>
      </x:c>
    </x:row>
    <x:row r="216">
      <x:c r="A216" s="2" t="n"/>
      <x:c r="B216" s="3" t="n"/>
      <x:c r="C216" s="2" t="n"/>
      <x:c r="D216" s="4" t="n"/>
      <x:c r="E216" s="2" t="n"/>
      <x:c r="F216" s="5" t="n"/>
      <x:c r="G216" s="5" t="n"/>
      <x:c r="H216" s="2" t="n"/>
      <x:c r="I216" s="6" t="n"/>
      <x:c r="J216" s="6" t="n"/>
      <x:c r="K216" s="7" t="n"/>
      <x:c r="L216" s="7" t="n"/>
      <x:c r="M216" s="7" t="n"/>
      <x:c r="N216" s="7" t="n"/>
      <x:c r="O216" s="2" t="n"/>
      <x:c r="P216" s="7" t="n"/>
      <x:c r="Q216" s="7" t="n"/>
      <x:c r="R216" s="7" t="n"/>
      <x:c r="S216" s="7" t="n"/>
      <x:c r="T216" s="2" t="n"/>
      <x:c r="U216" s="7" t="n"/>
      <x:c r="V216" s="8">
        <x:f>IF(OR(U216="",O216="",K216=""),"", (U216-K216)*O216)</x:f>
      </x:c>
      <x:c r="W216" s="8">
        <x:f>IF(V216="","", V216-S216)</x:f>
      </x:c>
      <x:c r="X216" s="9">
        <x:f>IF(OR(W216="",N216=0),"", W216/N216)</x:f>
      </x:c>
      <x:c r="Y216" s="10">
        <x:f>IF(OR(W216="",Config!$B$2=0,Config!$B$1=0),"", W216/(Config!$B$1*Config!$B$2))</x:f>
      </x:c>
      <x:c r="Z216" s="2" t="inlineStr">
        <x:is>
          <x:t xml:space="preserve"/>
        </x:is>
      </x:c>
    </x:row>
    <x:row r="217">
      <x:c r="A217" s="2" t="n"/>
      <x:c r="B217" s="3" t="n"/>
      <x:c r="C217" s="2" t="n"/>
      <x:c r="D217" s="4" t="n"/>
      <x:c r="E217" s="2" t="n"/>
      <x:c r="F217" s="5" t="n"/>
      <x:c r="G217" s="5" t="n"/>
      <x:c r="H217" s="2" t="n"/>
      <x:c r="I217" s="6" t="n"/>
      <x:c r="J217" s="6" t="n"/>
      <x:c r="K217" s="7" t="n"/>
      <x:c r="L217" s="7" t="n"/>
      <x:c r="M217" s="7" t="n"/>
      <x:c r="N217" s="7" t="n"/>
      <x:c r="O217" s="2" t="n"/>
      <x:c r="P217" s="7" t="n"/>
      <x:c r="Q217" s="7" t="n"/>
      <x:c r="R217" s="7" t="n"/>
      <x:c r="S217" s="7" t="n"/>
      <x:c r="T217" s="2" t="n"/>
      <x:c r="U217" s="7" t="n"/>
      <x:c r="V217" s="8">
        <x:f>IF(OR(U217="",O217="",K217=""),"", (U217-K217)*O217)</x:f>
      </x:c>
      <x:c r="W217" s="8">
        <x:f>IF(V217="","", V217-S217)</x:f>
      </x:c>
      <x:c r="X217" s="9">
        <x:f>IF(OR(W217="",N217=0),"", W217/N217)</x:f>
      </x:c>
      <x:c r="Y217" s="10">
        <x:f>IF(OR(W217="",Config!$B$2=0,Config!$B$1=0),"", W217/(Config!$B$1*Config!$B$2))</x:f>
      </x:c>
      <x:c r="Z217" s="2" t="inlineStr">
        <x:is>
          <x:t xml:space="preserve"/>
        </x:is>
      </x:c>
    </x:row>
    <x:row r="218">
      <x:c r="A218" s="2" t="n"/>
      <x:c r="B218" s="3" t="n"/>
      <x:c r="C218" s="2" t="n"/>
      <x:c r="D218" s="4" t="n"/>
      <x:c r="E218" s="2" t="n"/>
      <x:c r="F218" s="5" t="n"/>
      <x:c r="G218" s="5" t="n"/>
      <x:c r="H218" s="2" t="n"/>
      <x:c r="I218" s="6" t="n"/>
      <x:c r="J218" s="6" t="n"/>
      <x:c r="K218" s="7" t="n"/>
      <x:c r="L218" s="7" t="n"/>
      <x:c r="M218" s="7" t="n"/>
      <x:c r="N218" s="7" t="n"/>
      <x:c r="O218" s="2" t="n"/>
      <x:c r="P218" s="7" t="n"/>
      <x:c r="Q218" s="7" t="n"/>
      <x:c r="R218" s="7" t="n"/>
      <x:c r="S218" s="7" t="n"/>
      <x:c r="T218" s="2" t="n"/>
      <x:c r="U218" s="7" t="n"/>
      <x:c r="V218" s="8">
        <x:f>IF(OR(U218="",O218="",K218=""),"", (U218-K218)*O218)</x:f>
      </x:c>
      <x:c r="W218" s="8">
        <x:f>IF(V218="","", V218-S218)</x:f>
      </x:c>
      <x:c r="X218" s="9">
        <x:f>IF(OR(W218="",N218=0),"", W218/N218)</x:f>
      </x:c>
      <x:c r="Y218" s="10">
        <x:f>IF(OR(W218="",Config!$B$2=0,Config!$B$1=0),"", W218/(Config!$B$1*Config!$B$2))</x:f>
      </x:c>
      <x:c r="Z218" s="2" t="inlineStr">
        <x:is>
          <x:t xml:space="preserve"/>
        </x:is>
      </x:c>
    </x:row>
    <x:row r="219">
      <x:c r="A219" s="2" t="n"/>
      <x:c r="B219" s="3" t="n"/>
      <x:c r="C219" s="2" t="n"/>
      <x:c r="D219" s="4" t="n"/>
      <x:c r="E219" s="2" t="n"/>
      <x:c r="F219" s="5" t="n"/>
      <x:c r="G219" s="5" t="n"/>
      <x:c r="H219" s="2" t="n"/>
      <x:c r="I219" s="6" t="n"/>
      <x:c r="J219" s="6" t="n"/>
      <x:c r="K219" s="7" t="n"/>
      <x:c r="L219" s="7" t="n"/>
      <x:c r="M219" s="7" t="n"/>
      <x:c r="N219" s="7" t="n"/>
      <x:c r="O219" s="2" t="n"/>
      <x:c r="P219" s="7" t="n"/>
      <x:c r="Q219" s="7" t="n"/>
      <x:c r="R219" s="7" t="n"/>
      <x:c r="S219" s="7" t="n"/>
      <x:c r="T219" s="2" t="n"/>
      <x:c r="U219" s="7" t="n"/>
      <x:c r="V219" s="8">
        <x:f>IF(OR(U219="",O219="",K219=""),"", (U219-K219)*O219)</x:f>
      </x:c>
      <x:c r="W219" s="8">
        <x:f>IF(V219="","", V219-S219)</x:f>
      </x:c>
      <x:c r="X219" s="9">
        <x:f>IF(OR(W219="",N219=0),"", W219/N219)</x:f>
      </x:c>
      <x:c r="Y219" s="10">
        <x:f>IF(OR(W219="",Config!$B$2=0,Config!$B$1=0),"", W219/(Config!$B$1*Config!$B$2))</x:f>
      </x:c>
      <x:c r="Z219" s="2" t="inlineStr">
        <x:is>
          <x:t xml:space="preserve"/>
        </x:is>
      </x:c>
    </x:row>
    <x:row r="220">
      <x:c r="A220" s="2" t="n"/>
      <x:c r="B220" s="3" t="n"/>
      <x:c r="C220" s="2" t="n"/>
      <x:c r="D220" s="4" t="n"/>
      <x:c r="E220" s="2" t="n"/>
      <x:c r="F220" s="5" t="n"/>
      <x:c r="G220" s="5" t="n"/>
      <x:c r="H220" s="2" t="n"/>
      <x:c r="I220" s="6" t="n"/>
      <x:c r="J220" s="6" t="n"/>
      <x:c r="K220" s="7" t="n"/>
      <x:c r="L220" s="7" t="n"/>
      <x:c r="M220" s="7" t="n"/>
      <x:c r="N220" s="7" t="n"/>
      <x:c r="O220" s="2" t="n"/>
      <x:c r="P220" s="7" t="n"/>
      <x:c r="Q220" s="7" t="n"/>
      <x:c r="R220" s="7" t="n"/>
      <x:c r="S220" s="7" t="n"/>
      <x:c r="T220" s="2" t="n"/>
      <x:c r="U220" s="7" t="n"/>
      <x:c r="V220" s="8">
        <x:f>IF(OR(U220="",O220="",K220=""),"", (U220-K220)*O220)</x:f>
      </x:c>
      <x:c r="W220" s="8">
        <x:f>IF(V220="","", V220-S220)</x:f>
      </x:c>
      <x:c r="X220" s="9">
        <x:f>IF(OR(W220="",N220=0),"", W220/N220)</x:f>
      </x:c>
      <x:c r="Y220" s="10">
        <x:f>IF(OR(W220="",Config!$B$2=0,Config!$B$1=0),"", W220/(Config!$B$1*Config!$B$2))</x:f>
      </x:c>
      <x:c r="Z220" s="2" t="inlineStr">
        <x:is>
          <x:t xml:space="preserve"/>
        </x:is>
      </x:c>
    </x:row>
    <x:row r="221">
      <x:c r="A221" s="2" t="n"/>
      <x:c r="B221" s="3" t="n"/>
      <x:c r="C221" s="2" t="n"/>
      <x:c r="D221" s="4" t="n"/>
      <x:c r="E221" s="2" t="n"/>
      <x:c r="F221" s="5" t="n"/>
      <x:c r="G221" s="5" t="n"/>
      <x:c r="H221" s="2" t="n"/>
      <x:c r="I221" s="6" t="n"/>
      <x:c r="J221" s="6" t="n"/>
      <x:c r="K221" s="7" t="n"/>
      <x:c r="L221" s="7" t="n"/>
      <x:c r="M221" s="7" t="n"/>
      <x:c r="N221" s="7" t="n"/>
      <x:c r="O221" s="2" t="n"/>
      <x:c r="P221" s="7" t="n"/>
      <x:c r="Q221" s="7" t="n"/>
      <x:c r="R221" s="7" t="n"/>
      <x:c r="S221" s="7" t="n"/>
      <x:c r="T221" s="2" t="n"/>
      <x:c r="U221" s="7" t="n"/>
      <x:c r="V221" s="8">
        <x:f>IF(OR(U221="",O221="",K221=""),"", (U221-K221)*O221)</x:f>
      </x:c>
      <x:c r="W221" s="8">
        <x:f>IF(V221="","", V221-S221)</x:f>
      </x:c>
      <x:c r="X221" s="9">
        <x:f>IF(OR(W221="",N221=0),"", W221/N221)</x:f>
      </x:c>
      <x:c r="Y221" s="10">
        <x:f>IF(OR(W221="",Config!$B$2=0,Config!$B$1=0),"", W221/(Config!$B$1*Config!$B$2))</x:f>
      </x:c>
      <x:c r="Z221" s="2" t="inlineStr">
        <x:is>
          <x:t xml:space="preserve"/>
        </x:is>
      </x:c>
    </x:row>
    <x:row r="222">
      <x:c r="A222" s="2" t="n"/>
      <x:c r="B222" s="3" t="n"/>
      <x:c r="C222" s="2" t="n"/>
      <x:c r="D222" s="4" t="n"/>
      <x:c r="E222" s="2" t="n"/>
      <x:c r="F222" s="5" t="n"/>
      <x:c r="G222" s="5" t="n"/>
      <x:c r="H222" s="2" t="n"/>
      <x:c r="I222" s="6" t="n"/>
      <x:c r="J222" s="6" t="n"/>
      <x:c r="K222" s="7" t="n"/>
      <x:c r="L222" s="7" t="n"/>
      <x:c r="M222" s="7" t="n"/>
      <x:c r="N222" s="7" t="n"/>
      <x:c r="O222" s="2" t="n"/>
      <x:c r="P222" s="7" t="n"/>
      <x:c r="Q222" s="7" t="n"/>
      <x:c r="R222" s="7" t="n"/>
      <x:c r="S222" s="7" t="n"/>
      <x:c r="T222" s="2" t="n"/>
      <x:c r="U222" s="7" t="n"/>
      <x:c r="V222" s="8">
        <x:f>IF(OR(U222="",O222="",K222=""),"", (U222-K222)*O222)</x:f>
      </x:c>
      <x:c r="W222" s="8">
        <x:f>IF(V222="","", V222-S222)</x:f>
      </x:c>
      <x:c r="X222" s="9">
        <x:f>IF(OR(W222="",N222=0),"", W222/N222)</x:f>
      </x:c>
      <x:c r="Y222" s="10">
        <x:f>IF(OR(W222="",Config!$B$2=0,Config!$B$1=0),"", W222/(Config!$B$1*Config!$B$2))</x:f>
      </x:c>
      <x:c r="Z222" s="2" t="inlineStr">
        <x:is>
          <x:t xml:space="preserve"/>
        </x:is>
      </x:c>
    </x:row>
    <x:row r="223">
      <x:c r="A223" s="2" t="n"/>
      <x:c r="B223" s="3" t="n"/>
      <x:c r="C223" s="2" t="n"/>
      <x:c r="D223" s="4" t="n"/>
      <x:c r="E223" s="2" t="n"/>
      <x:c r="F223" s="5" t="n"/>
      <x:c r="G223" s="5" t="n"/>
      <x:c r="H223" s="2" t="n"/>
      <x:c r="I223" s="6" t="n"/>
      <x:c r="J223" s="6" t="n"/>
      <x:c r="K223" s="7" t="n"/>
      <x:c r="L223" s="7" t="n"/>
      <x:c r="M223" s="7" t="n"/>
      <x:c r="N223" s="7" t="n"/>
      <x:c r="O223" s="2" t="n"/>
      <x:c r="P223" s="7" t="n"/>
      <x:c r="Q223" s="7" t="n"/>
      <x:c r="R223" s="7" t="n"/>
      <x:c r="S223" s="7" t="n"/>
      <x:c r="T223" s="2" t="n"/>
      <x:c r="U223" s="7" t="n"/>
      <x:c r="V223" s="8">
        <x:f>IF(OR(U223="",O223="",K223=""),"", (U223-K223)*O223)</x:f>
      </x:c>
      <x:c r="W223" s="8">
        <x:f>IF(V223="","", V223-S223)</x:f>
      </x:c>
      <x:c r="X223" s="9">
        <x:f>IF(OR(W223="",N223=0),"", W223/N223)</x:f>
      </x:c>
      <x:c r="Y223" s="10">
        <x:f>IF(OR(W223="",Config!$B$2=0,Config!$B$1=0),"", W223/(Config!$B$1*Config!$B$2))</x:f>
      </x:c>
      <x:c r="Z223" s="2" t="inlineStr">
        <x:is>
          <x:t xml:space="preserve"/>
        </x:is>
      </x:c>
    </x:row>
    <x:row r="224">
      <x:c r="A224" s="2" t="n"/>
      <x:c r="B224" s="3" t="n"/>
      <x:c r="C224" s="2" t="n"/>
      <x:c r="D224" s="4" t="n"/>
      <x:c r="E224" s="2" t="n"/>
      <x:c r="F224" s="5" t="n"/>
      <x:c r="G224" s="5" t="n"/>
      <x:c r="H224" s="2" t="n"/>
      <x:c r="I224" s="6" t="n"/>
      <x:c r="J224" s="6" t="n"/>
      <x:c r="K224" s="7" t="n"/>
      <x:c r="L224" s="7" t="n"/>
      <x:c r="M224" s="7" t="n"/>
      <x:c r="N224" s="7" t="n"/>
      <x:c r="O224" s="2" t="n"/>
      <x:c r="P224" s="7" t="n"/>
      <x:c r="Q224" s="7" t="n"/>
      <x:c r="R224" s="7" t="n"/>
      <x:c r="S224" s="7" t="n"/>
      <x:c r="T224" s="2" t="n"/>
      <x:c r="U224" s="7" t="n"/>
      <x:c r="V224" s="8">
        <x:f>IF(OR(U224="",O224="",K224=""),"", (U224-K224)*O224)</x:f>
      </x:c>
      <x:c r="W224" s="8">
        <x:f>IF(V224="","", V224-S224)</x:f>
      </x:c>
      <x:c r="X224" s="9">
        <x:f>IF(OR(W224="",N224=0),"", W224/N224)</x:f>
      </x:c>
      <x:c r="Y224" s="10">
        <x:f>IF(OR(W224="",Config!$B$2=0,Config!$B$1=0),"", W224/(Config!$B$1*Config!$B$2))</x:f>
      </x:c>
      <x:c r="Z224" s="2" t="inlineStr">
        <x:is>
          <x:t xml:space="preserve"/>
        </x:is>
      </x:c>
    </x:row>
    <x:row r="225">
      <x:c r="A225" s="2" t="n"/>
      <x:c r="B225" s="3" t="n"/>
      <x:c r="C225" s="2" t="n"/>
      <x:c r="D225" s="4" t="n"/>
      <x:c r="E225" s="2" t="n"/>
      <x:c r="F225" s="5" t="n"/>
      <x:c r="G225" s="5" t="n"/>
      <x:c r="H225" s="2" t="n"/>
      <x:c r="I225" s="6" t="n"/>
      <x:c r="J225" s="6" t="n"/>
      <x:c r="K225" s="7" t="n"/>
      <x:c r="L225" s="7" t="n"/>
      <x:c r="M225" s="7" t="n"/>
      <x:c r="N225" s="7" t="n"/>
      <x:c r="O225" s="2" t="n"/>
      <x:c r="P225" s="7" t="n"/>
      <x:c r="Q225" s="7" t="n"/>
      <x:c r="R225" s="7" t="n"/>
      <x:c r="S225" s="7" t="n"/>
      <x:c r="T225" s="2" t="n"/>
      <x:c r="U225" s="7" t="n"/>
      <x:c r="V225" s="8">
        <x:f>IF(OR(U225="",O225="",K225=""),"", (U225-K225)*O225)</x:f>
      </x:c>
      <x:c r="W225" s="8">
        <x:f>IF(V225="","", V225-S225)</x:f>
      </x:c>
      <x:c r="X225" s="9">
        <x:f>IF(OR(W225="",N225=0),"", W225/N225)</x:f>
      </x:c>
      <x:c r="Y225" s="10">
        <x:f>IF(OR(W225="",Config!$B$2=0,Config!$B$1=0),"", W225/(Config!$B$1*Config!$B$2))</x:f>
      </x:c>
      <x:c r="Z225" s="2" t="inlineStr">
        <x:is>
          <x:t xml:space="preserve"/>
        </x:is>
      </x:c>
    </x:row>
    <x:row r="226">
      <x:c r="A226" s="2" t="n"/>
      <x:c r="B226" s="3" t="n"/>
      <x:c r="C226" s="2" t="n"/>
      <x:c r="D226" s="4" t="n"/>
      <x:c r="E226" s="2" t="n"/>
      <x:c r="F226" s="5" t="n"/>
      <x:c r="G226" s="5" t="n"/>
      <x:c r="H226" s="2" t="n"/>
      <x:c r="I226" s="6" t="n"/>
      <x:c r="J226" s="6" t="n"/>
      <x:c r="K226" s="7" t="n"/>
      <x:c r="L226" s="7" t="n"/>
      <x:c r="M226" s="7" t="n"/>
      <x:c r="N226" s="7" t="n"/>
      <x:c r="O226" s="2" t="n"/>
      <x:c r="P226" s="7" t="n"/>
      <x:c r="Q226" s="7" t="n"/>
      <x:c r="R226" s="7" t="n"/>
      <x:c r="S226" s="7" t="n"/>
      <x:c r="T226" s="2" t="n"/>
      <x:c r="U226" s="7" t="n"/>
      <x:c r="V226" s="8">
        <x:f>IF(OR(U226="",O226="",K226=""),"", (U226-K226)*O226)</x:f>
      </x:c>
      <x:c r="W226" s="8">
        <x:f>IF(V226="","", V226-S226)</x:f>
      </x:c>
      <x:c r="X226" s="9">
        <x:f>IF(OR(W226="",N226=0),"", W226/N226)</x:f>
      </x:c>
      <x:c r="Y226" s="10">
        <x:f>IF(OR(W226="",Config!$B$2=0,Config!$B$1=0),"", W226/(Config!$B$1*Config!$B$2))</x:f>
      </x:c>
      <x:c r="Z226" s="2" t="inlineStr">
        <x:is>
          <x:t xml:space="preserve"/>
        </x:is>
      </x:c>
    </x:row>
    <x:row r="227">
      <x:c r="A227" s="2" t="n"/>
      <x:c r="B227" s="3" t="n"/>
      <x:c r="C227" s="2" t="n"/>
      <x:c r="D227" s="4" t="n"/>
      <x:c r="E227" s="2" t="n"/>
      <x:c r="F227" s="5" t="n"/>
      <x:c r="G227" s="5" t="n"/>
      <x:c r="H227" s="2" t="n"/>
      <x:c r="I227" s="6" t="n"/>
      <x:c r="J227" s="6" t="n"/>
      <x:c r="K227" s="7" t="n"/>
      <x:c r="L227" s="7" t="n"/>
      <x:c r="M227" s="7" t="n"/>
      <x:c r="N227" s="7" t="n"/>
      <x:c r="O227" s="2" t="n"/>
      <x:c r="P227" s="7" t="n"/>
      <x:c r="Q227" s="7" t="n"/>
      <x:c r="R227" s="7" t="n"/>
      <x:c r="S227" s="7" t="n"/>
      <x:c r="T227" s="2" t="n"/>
      <x:c r="U227" s="7" t="n"/>
      <x:c r="V227" s="8">
        <x:f>IF(OR(U227="",O227="",K227=""),"", (U227-K227)*O227)</x:f>
      </x:c>
      <x:c r="W227" s="8">
        <x:f>IF(V227="","", V227-S227)</x:f>
      </x:c>
      <x:c r="X227" s="9">
        <x:f>IF(OR(W227="",N227=0),"", W227/N227)</x:f>
      </x:c>
      <x:c r="Y227" s="10">
        <x:f>IF(OR(W227="",Config!$B$2=0,Config!$B$1=0),"", W227/(Config!$B$1*Config!$B$2))</x:f>
      </x:c>
      <x:c r="Z227" s="2" t="inlineStr">
        <x:is>
          <x:t xml:space="preserve"/>
        </x:is>
      </x:c>
    </x:row>
    <x:row r="228">
      <x:c r="A228" s="2" t="n"/>
      <x:c r="B228" s="3" t="n"/>
      <x:c r="C228" s="2" t="n"/>
      <x:c r="D228" s="4" t="n"/>
      <x:c r="E228" s="2" t="n"/>
      <x:c r="F228" s="5" t="n"/>
      <x:c r="G228" s="5" t="n"/>
      <x:c r="H228" s="2" t="n"/>
      <x:c r="I228" s="6" t="n"/>
      <x:c r="J228" s="6" t="n"/>
      <x:c r="K228" s="7" t="n"/>
      <x:c r="L228" s="7" t="n"/>
      <x:c r="M228" s="7" t="n"/>
      <x:c r="N228" s="7" t="n"/>
      <x:c r="O228" s="2" t="n"/>
      <x:c r="P228" s="7" t="n"/>
      <x:c r="Q228" s="7" t="n"/>
      <x:c r="R228" s="7" t="n"/>
      <x:c r="S228" s="7" t="n"/>
      <x:c r="T228" s="2" t="n"/>
      <x:c r="U228" s="7" t="n"/>
      <x:c r="V228" s="8">
        <x:f>IF(OR(U228="",O228="",K228=""),"", (U228-K228)*O228)</x:f>
      </x:c>
      <x:c r="W228" s="8">
        <x:f>IF(V228="","", V228-S228)</x:f>
      </x:c>
      <x:c r="X228" s="9">
        <x:f>IF(OR(W228="",N228=0),"", W228/N228)</x:f>
      </x:c>
      <x:c r="Y228" s="10">
        <x:f>IF(OR(W228="",Config!$B$2=0,Config!$B$1=0),"", W228/(Config!$B$1*Config!$B$2))</x:f>
      </x:c>
      <x:c r="Z228" s="2" t="inlineStr">
        <x:is>
          <x:t xml:space="preserve"/>
        </x:is>
      </x:c>
    </x:row>
    <x:row r="229">
      <x:c r="A229" s="2" t="n"/>
      <x:c r="B229" s="3" t="n"/>
      <x:c r="C229" s="2" t="n"/>
      <x:c r="D229" s="4" t="n"/>
      <x:c r="E229" s="2" t="n"/>
      <x:c r="F229" s="5" t="n"/>
      <x:c r="G229" s="5" t="n"/>
      <x:c r="H229" s="2" t="n"/>
      <x:c r="I229" s="6" t="n"/>
      <x:c r="J229" s="6" t="n"/>
      <x:c r="K229" s="7" t="n"/>
      <x:c r="L229" s="7" t="n"/>
      <x:c r="M229" s="7" t="n"/>
      <x:c r="N229" s="7" t="n"/>
      <x:c r="O229" s="2" t="n"/>
      <x:c r="P229" s="7" t="n"/>
      <x:c r="Q229" s="7" t="n"/>
      <x:c r="R229" s="7" t="n"/>
      <x:c r="S229" s="7" t="n"/>
      <x:c r="T229" s="2" t="n"/>
      <x:c r="U229" s="7" t="n"/>
      <x:c r="V229" s="8">
        <x:f>IF(OR(U229="",O229="",K229=""),"", (U229-K229)*O229)</x:f>
      </x:c>
      <x:c r="W229" s="8">
        <x:f>IF(V229="","", V229-S229)</x:f>
      </x:c>
      <x:c r="X229" s="9">
        <x:f>IF(OR(W229="",N229=0),"", W229/N229)</x:f>
      </x:c>
      <x:c r="Y229" s="10">
        <x:f>IF(OR(W229="",Config!$B$2=0,Config!$B$1=0),"", W229/(Config!$B$1*Config!$B$2))</x:f>
      </x:c>
      <x:c r="Z229" s="2" t="inlineStr">
        <x:is>
          <x:t xml:space="preserve"/>
        </x:is>
      </x:c>
    </x:row>
    <x:row r="230">
      <x:c r="A230" s="2" t="n"/>
      <x:c r="B230" s="3" t="n"/>
      <x:c r="C230" s="2" t="n"/>
      <x:c r="D230" s="4" t="n"/>
      <x:c r="E230" s="2" t="n"/>
      <x:c r="F230" s="5" t="n"/>
      <x:c r="G230" s="5" t="n"/>
      <x:c r="H230" s="2" t="n"/>
      <x:c r="I230" s="6" t="n"/>
      <x:c r="J230" s="6" t="n"/>
      <x:c r="K230" s="7" t="n"/>
      <x:c r="L230" s="7" t="n"/>
      <x:c r="M230" s="7" t="n"/>
      <x:c r="N230" s="7" t="n"/>
      <x:c r="O230" s="2" t="n"/>
      <x:c r="P230" s="7" t="n"/>
      <x:c r="Q230" s="7" t="n"/>
      <x:c r="R230" s="7" t="n"/>
      <x:c r="S230" s="7" t="n"/>
      <x:c r="T230" s="2" t="n"/>
      <x:c r="U230" s="7" t="n"/>
      <x:c r="V230" s="8">
        <x:f>IF(OR(U230="",O230="",K230=""),"", (U230-K230)*O230)</x:f>
      </x:c>
      <x:c r="W230" s="8">
        <x:f>IF(V230="","", V230-S230)</x:f>
      </x:c>
      <x:c r="X230" s="9">
        <x:f>IF(OR(W230="",N230=0),"", W230/N230)</x:f>
      </x:c>
      <x:c r="Y230" s="10">
        <x:f>IF(OR(W230="",Config!$B$2=0,Config!$B$1=0),"", W230/(Config!$B$1*Config!$B$2))</x:f>
      </x:c>
      <x:c r="Z230" s="2" t="inlineStr">
        <x:is>
          <x:t xml:space="preserve"/>
        </x:is>
      </x:c>
    </x:row>
    <x:row r="231">
      <x:c r="A231" s="2" t="n"/>
      <x:c r="B231" s="3" t="n"/>
      <x:c r="C231" s="2" t="n"/>
      <x:c r="D231" s="4" t="n"/>
      <x:c r="E231" s="2" t="n"/>
      <x:c r="F231" s="5" t="n"/>
      <x:c r="G231" s="5" t="n"/>
      <x:c r="H231" s="2" t="n"/>
      <x:c r="I231" s="6" t="n"/>
      <x:c r="J231" s="6" t="n"/>
      <x:c r="K231" s="7" t="n"/>
      <x:c r="L231" s="7" t="n"/>
      <x:c r="M231" s="7" t="n"/>
      <x:c r="N231" s="7" t="n"/>
      <x:c r="O231" s="2" t="n"/>
      <x:c r="P231" s="7" t="n"/>
      <x:c r="Q231" s="7" t="n"/>
      <x:c r="R231" s="7" t="n"/>
      <x:c r="S231" s="7" t="n"/>
      <x:c r="T231" s="2" t="n"/>
      <x:c r="U231" s="7" t="n"/>
      <x:c r="V231" s="8">
        <x:f>IF(OR(U231="",O231="",K231=""),"", (U231-K231)*O231)</x:f>
      </x:c>
      <x:c r="W231" s="8">
        <x:f>IF(V231="","", V231-S231)</x:f>
      </x:c>
      <x:c r="X231" s="9">
        <x:f>IF(OR(W231="",N231=0),"", W231/N231)</x:f>
      </x:c>
      <x:c r="Y231" s="10">
        <x:f>IF(OR(W231="",Config!$B$2=0,Config!$B$1=0),"", W231/(Config!$B$1*Config!$B$2))</x:f>
      </x:c>
      <x:c r="Z231" s="2" t="inlineStr">
        <x:is>
          <x:t xml:space="preserve"/>
        </x:is>
      </x:c>
    </x:row>
    <x:row r="232">
      <x:c r="A232" s="2" t="n"/>
      <x:c r="B232" s="3" t="n"/>
      <x:c r="C232" s="2" t="n"/>
      <x:c r="D232" s="4" t="n"/>
      <x:c r="E232" s="2" t="n"/>
      <x:c r="F232" s="5" t="n"/>
      <x:c r="G232" s="5" t="n"/>
      <x:c r="H232" s="2" t="n"/>
      <x:c r="I232" s="6" t="n"/>
      <x:c r="J232" s="6" t="n"/>
      <x:c r="K232" s="7" t="n"/>
      <x:c r="L232" s="7" t="n"/>
      <x:c r="M232" s="7" t="n"/>
      <x:c r="N232" s="7" t="n"/>
      <x:c r="O232" s="2" t="n"/>
      <x:c r="P232" s="7" t="n"/>
      <x:c r="Q232" s="7" t="n"/>
      <x:c r="R232" s="7" t="n"/>
      <x:c r="S232" s="7" t="n"/>
      <x:c r="T232" s="2" t="n"/>
      <x:c r="U232" s="7" t="n"/>
      <x:c r="V232" s="8">
        <x:f>IF(OR(U232="",O232="",K232=""),"", (U232-K232)*O232)</x:f>
      </x:c>
      <x:c r="W232" s="8">
        <x:f>IF(V232="","", V232-S232)</x:f>
      </x:c>
      <x:c r="X232" s="9">
        <x:f>IF(OR(W232="",N232=0),"", W232/N232)</x:f>
      </x:c>
      <x:c r="Y232" s="10">
        <x:f>IF(OR(W232="",Config!$B$2=0,Config!$B$1=0),"", W232/(Config!$B$1*Config!$B$2))</x:f>
      </x:c>
      <x:c r="Z232" s="2" t="inlineStr">
        <x:is>
          <x:t xml:space="preserve"/>
        </x:is>
      </x:c>
    </x:row>
    <x:row r="233">
      <x:c r="A233" s="2" t="n"/>
      <x:c r="B233" s="3" t="n"/>
      <x:c r="C233" s="2" t="n"/>
      <x:c r="D233" s="4" t="n"/>
      <x:c r="E233" s="2" t="n"/>
      <x:c r="F233" s="5" t="n"/>
      <x:c r="G233" s="5" t="n"/>
      <x:c r="H233" s="2" t="n"/>
      <x:c r="I233" s="6" t="n"/>
      <x:c r="J233" s="6" t="n"/>
      <x:c r="K233" s="7" t="n"/>
      <x:c r="L233" s="7" t="n"/>
      <x:c r="M233" s="7" t="n"/>
      <x:c r="N233" s="7" t="n"/>
      <x:c r="O233" s="2" t="n"/>
      <x:c r="P233" s="7" t="n"/>
      <x:c r="Q233" s="7" t="n"/>
      <x:c r="R233" s="7" t="n"/>
      <x:c r="S233" s="7" t="n"/>
      <x:c r="T233" s="2" t="n"/>
      <x:c r="U233" s="7" t="n"/>
      <x:c r="V233" s="8">
        <x:f>IF(OR(U233="",O233="",K233=""),"", (U233-K233)*O233)</x:f>
      </x:c>
      <x:c r="W233" s="8">
        <x:f>IF(V233="","", V233-S233)</x:f>
      </x:c>
      <x:c r="X233" s="9">
        <x:f>IF(OR(W233="",N233=0),"", W233/N233)</x:f>
      </x:c>
      <x:c r="Y233" s="10">
        <x:f>IF(OR(W233="",Config!$B$2=0,Config!$B$1=0),"", W233/(Config!$B$1*Config!$B$2))</x:f>
      </x:c>
      <x:c r="Z233" s="2" t="inlineStr">
        <x:is>
          <x:t xml:space="preserve"/>
        </x:is>
      </x:c>
    </x:row>
    <x:row r="234">
      <x:c r="A234" s="2" t="n"/>
      <x:c r="B234" s="3" t="n"/>
      <x:c r="C234" s="2" t="n"/>
      <x:c r="D234" s="4" t="n"/>
      <x:c r="E234" s="2" t="n"/>
      <x:c r="F234" s="5" t="n"/>
      <x:c r="G234" s="5" t="n"/>
      <x:c r="H234" s="2" t="n"/>
      <x:c r="I234" s="6" t="n"/>
      <x:c r="J234" s="6" t="n"/>
      <x:c r="K234" s="7" t="n"/>
      <x:c r="L234" s="7" t="n"/>
      <x:c r="M234" s="7" t="n"/>
      <x:c r="N234" s="7" t="n"/>
      <x:c r="O234" s="2" t="n"/>
      <x:c r="P234" s="7" t="n"/>
      <x:c r="Q234" s="7" t="n"/>
      <x:c r="R234" s="7" t="n"/>
      <x:c r="S234" s="7" t="n"/>
      <x:c r="T234" s="2" t="n"/>
      <x:c r="U234" s="7" t="n"/>
      <x:c r="V234" s="8">
        <x:f>IF(OR(U234="",O234="",K234=""),"", (U234-K234)*O234)</x:f>
      </x:c>
      <x:c r="W234" s="8">
        <x:f>IF(V234="","", V234-S234)</x:f>
      </x:c>
      <x:c r="X234" s="9">
        <x:f>IF(OR(W234="",N234=0),"", W234/N234)</x:f>
      </x:c>
      <x:c r="Y234" s="10">
        <x:f>IF(OR(W234="",Config!$B$2=0,Config!$B$1=0),"", W234/(Config!$B$1*Config!$B$2))</x:f>
      </x:c>
      <x:c r="Z234" s="2" t="inlineStr">
        <x:is>
          <x:t xml:space="preserve"/>
        </x:is>
      </x:c>
    </x:row>
    <x:row r="235">
      <x:c r="A235" s="2" t="n"/>
      <x:c r="B235" s="3" t="n"/>
      <x:c r="C235" s="2" t="n"/>
      <x:c r="D235" s="4" t="n"/>
      <x:c r="E235" s="2" t="n"/>
      <x:c r="F235" s="5" t="n"/>
      <x:c r="G235" s="5" t="n"/>
      <x:c r="H235" s="2" t="n"/>
      <x:c r="I235" s="6" t="n"/>
      <x:c r="J235" s="6" t="n"/>
      <x:c r="K235" s="7" t="n"/>
      <x:c r="L235" s="7" t="n"/>
      <x:c r="M235" s="7" t="n"/>
      <x:c r="N235" s="7" t="n"/>
      <x:c r="O235" s="2" t="n"/>
      <x:c r="P235" s="7" t="n"/>
      <x:c r="Q235" s="7" t="n"/>
      <x:c r="R235" s="7" t="n"/>
      <x:c r="S235" s="7" t="n"/>
      <x:c r="T235" s="2" t="n"/>
      <x:c r="U235" s="7" t="n"/>
      <x:c r="V235" s="8">
        <x:f>IF(OR(U235="",O235="",K235=""),"", (U235-K235)*O235)</x:f>
      </x:c>
      <x:c r="W235" s="8">
        <x:f>IF(V235="","", V235-S235)</x:f>
      </x:c>
      <x:c r="X235" s="9">
        <x:f>IF(OR(W235="",N235=0),"", W235/N235)</x:f>
      </x:c>
      <x:c r="Y235" s="10">
        <x:f>IF(OR(W235="",Config!$B$2=0,Config!$B$1=0),"", W235/(Config!$B$1*Config!$B$2))</x:f>
      </x:c>
      <x:c r="Z235" s="2" t="inlineStr">
        <x:is>
          <x:t xml:space="preserve"/>
        </x:is>
      </x:c>
    </x:row>
    <x:row r="236">
      <x:c r="A236" s="2" t="n"/>
      <x:c r="B236" s="3" t="n"/>
      <x:c r="C236" s="2" t="n"/>
      <x:c r="D236" s="4" t="n"/>
      <x:c r="E236" s="2" t="n"/>
      <x:c r="F236" s="5" t="n"/>
      <x:c r="G236" s="5" t="n"/>
      <x:c r="H236" s="2" t="n"/>
      <x:c r="I236" s="6" t="n"/>
      <x:c r="J236" s="6" t="n"/>
      <x:c r="K236" s="7" t="n"/>
      <x:c r="L236" s="7" t="n"/>
      <x:c r="M236" s="7" t="n"/>
      <x:c r="N236" s="7" t="n"/>
      <x:c r="O236" s="2" t="n"/>
      <x:c r="P236" s="7" t="n"/>
      <x:c r="Q236" s="7" t="n"/>
      <x:c r="R236" s="7" t="n"/>
      <x:c r="S236" s="7" t="n"/>
      <x:c r="T236" s="2" t="n"/>
      <x:c r="U236" s="7" t="n"/>
      <x:c r="V236" s="8">
        <x:f>IF(OR(U236="",O236="",K236=""),"", (U236-K236)*O236)</x:f>
      </x:c>
      <x:c r="W236" s="8">
        <x:f>IF(V236="","", V236-S236)</x:f>
      </x:c>
      <x:c r="X236" s="9">
        <x:f>IF(OR(W236="",N236=0),"", W236/N236)</x:f>
      </x:c>
      <x:c r="Y236" s="10">
        <x:f>IF(OR(W236="",Config!$B$2=0,Config!$B$1=0),"", W236/(Config!$B$1*Config!$B$2))</x:f>
      </x:c>
      <x:c r="Z236" s="2" t="inlineStr">
        <x:is>
          <x:t xml:space="preserve"/>
        </x:is>
      </x:c>
    </x:row>
    <x:row r="237">
      <x:c r="A237" s="2" t="n"/>
      <x:c r="B237" s="3" t="n"/>
      <x:c r="C237" s="2" t="n"/>
      <x:c r="D237" s="4" t="n"/>
      <x:c r="E237" s="2" t="n"/>
      <x:c r="F237" s="5" t="n"/>
      <x:c r="G237" s="5" t="n"/>
      <x:c r="H237" s="2" t="n"/>
      <x:c r="I237" s="6" t="n"/>
      <x:c r="J237" s="6" t="n"/>
      <x:c r="K237" s="7" t="n"/>
      <x:c r="L237" s="7" t="n"/>
      <x:c r="M237" s="7" t="n"/>
      <x:c r="N237" s="7" t="n"/>
      <x:c r="O237" s="2" t="n"/>
      <x:c r="P237" s="7" t="n"/>
      <x:c r="Q237" s="7" t="n"/>
      <x:c r="R237" s="7" t="n"/>
      <x:c r="S237" s="7" t="n"/>
      <x:c r="T237" s="2" t="n"/>
      <x:c r="U237" s="7" t="n"/>
      <x:c r="V237" s="8">
        <x:f>IF(OR(U237="",O237="",K237=""),"", (U237-K237)*O237)</x:f>
      </x:c>
      <x:c r="W237" s="8">
        <x:f>IF(V237="","", V237-S237)</x:f>
      </x:c>
      <x:c r="X237" s="9">
        <x:f>IF(OR(W237="",N237=0),"", W237/N237)</x:f>
      </x:c>
      <x:c r="Y237" s="10">
        <x:f>IF(OR(W237="",Config!$B$2=0,Config!$B$1=0),"", W237/(Config!$B$1*Config!$B$2))</x:f>
      </x:c>
      <x:c r="Z237" s="2" t="inlineStr">
        <x:is>
          <x:t xml:space="preserve"/>
        </x:is>
      </x:c>
    </x:row>
    <x:row r="238">
      <x:c r="A238" s="2" t="n"/>
      <x:c r="B238" s="3" t="n"/>
      <x:c r="C238" s="2" t="n"/>
      <x:c r="D238" s="4" t="n"/>
      <x:c r="E238" s="2" t="n"/>
      <x:c r="F238" s="5" t="n"/>
      <x:c r="G238" s="5" t="n"/>
      <x:c r="H238" s="2" t="n"/>
      <x:c r="I238" s="6" t="n"/>
      <x:c r="J238" s="6" t="n"/>
      <x:c r="K238" s="7" t="n"/>
      <x:c r="L238" s="7" t="n"/>
      <x:c r="M238" s="7" t="n"/>
      <x:c r="N238" s="7" t="n"/>
      <x:c r="O238" s="2" t="n"/>
      <x:c r="P238" s="7" t="n"/>
      <x:c r="Q238" s="7" t="n"/>
      <x:c r="R238" s="7" t="n"/>
      <x:c r="S238" s="7" t="n"/>
      <x:c r="T238" s="2" t="n"/>
      <x:c r="U238" s="7" t="n"/>
      <x:c r="V238" s="8">
        <x:f>IF(OR(U238="",O238="",K238=""),"", (U238-K238)*O238)</x:f>
      </x:c>
      <x:c r="W238" s="8">
        <x:f>IF(V238="","", V238-S238)</x:f>
      </x:c>
      <x:c r="X238" s="9">
        <x:f>IF(OR(W238="",N238=0),"", W238/N238)</x:f>
      </x:c>
      <x:c r="Y238" s="10">
        <x:f>IF(OR(W238="",Config!$B$2=0,Config!$B$1=0),"", W238/(Config!$B$1*Config!$B$2))</x:f>
      </x:c>
      <x:c r="Z238" s="2" t="inlineStr">
        <x:is>
          <x:t xml:space="preserve"/>
        </x:is>
      </x:c>
    </x:row>
    <x:row r="239">
      <x:c r="A239" s="2" t="n"/>
      <x:c r="B239" s="3" t="n"/>
      <x:c r="C239" s="2" t="n"/>
      <x:c r="D239" s="4" t="n"/>
      <x:c r="E239" s="2" t="n"/>
      <x:c r="F239" s="5" t="n"/>
      <x:c r="G239" s="5" t="n"/>
      <x:c r="H239" s="2" t="n"/>
      <x:c r="I239" s="6" t="n"/>
      <x:c r="J239" s="6" t="n"/>
      <x:c r="K239" s="7" t="n"/>
      <x:c r="L239" s="7" t="n"/>
      <x:c r="M239" s="7" t="n"/>
      <x:c r="N239" s="7" t="n"/>
      <x:c r="O239" s="2" t="n"/>
      <x:c r="P239" s="7" t="n"/>
      <x:c r="Q239" s="7" t="n"/>
      <x:c r="R239" s="7" t="n"/>
      <x:c r="S239" s="7" t="n"/>
      <x:c r="T239" s="2" t="n"/>
      <x:c r="U239" s="7" t="n"/>
      <x:c r="V239" s="8">
        <x:f>IF(OR(U239="",O239="",K239=""),"", (U239-K239)*O239)</x:f>
      </x:c>
      <x:c r="W239" s="8">
        <x:f>IF(V239="","", V239-S239)</x:f>
      </x:c>
      <x:c r="X239" s="9">
        <x:f>IF(OR(W239="",N239=0),"", W239/N239)</x:f>
      </x:c>
      <x:c r="Y239" s="10">
        <x:f>IF(OR(W239="",Config!$B$2=0,Config!$B$1=0),"", W239/(Config!$B$1*Config!$B$2))</x:f>
      </x:c>
      <x:c r="Z239" s="2" t="inlineStr">
        <x:is>
          <x:t xml:space="preserve"/>
        </x:is>
      </x:c>
    </x:row>
    <x:row r="240">
      <x:c r="A240" s="2" t="n"/>
      <x:c r="B240" s="3" t="n"/>
      <x:c r="C240" s="2" t="n"/>
      <x:c r="D240" s="4" t="n"/>
      <x:c r="E240" s="2" t="n"/>
      <x:c r="F240" s="5" t="n"/>
      <x:c r="G240" s="5" t="n"/>
      <x:c r="H240" s="2" t="n"/>
      <x:c r="I240" s="6" t="n"/>
      <x:c r="J240" s="6" t="n"/>
      <x:c r="K240" s="7" t="n"/>
      <x:c r="L240" s="7" t="n"/>
      <x:c r="M240" s="7" t="n"/>
      <x:c r="N240" s="7" t="n"/>
      <x:c r="O240" s="2" t="n"/>
      <x:c r="P240" s="7" t="n"/>
      <x:c r="Q240" s="7" t="n"/>
      <x:c r="R240" s="7" t="n"/>
      <x:c r="S240" s="7" t="n"/>
      <x:c r="T240" s="2" t="n"/>
      <x:c r="U240" s="7" t="n"/>
      <x:c r="V240" s="8">
        <x:f>IF(OR(U240="",O240="",K240=""),"", (U240-K240)*O240)</x:f>
      </x:c>
      <x:c r="W240" s="8">
        <x:f>IF(V240="","", V240-S240)</x:f>
      </x:c>
      <x:c r="X240" s="9">
        <x:f>IF(OR(W240="",N240=0),"", W240/N240)</x:f>
      </x:c>
      <x:c r="Y240" s="10">
        <x:f>IF(OR(W240="",Config!$B$2=0,Config!$B$1=0),"", W240/(Config!$B$1*Config!$B$2))</x:f>
      </x:c>
      <x:c r="Z240" s="2" t="inlineStr">
        <x:is>
          <x:t xml:space="preserve"/>
        </x:is>
      </x:c>
    </x:row>
    <x:row r="241">
      <x:c r="A241" s="2" t="n"/>
      <x:c r="B241" s="3" t="n"/>
      <x:c r="C241" s="2" t="n"/>
      <x:c r="D241" s="4" t="n"/>
      <x:c r="E241" s="2" t="n"/>
      <x:c r="F241" s="5" t="n"/>
      <x:c r="G241" s="5" t="n"/>
      <x:c r="H241" s="2" t="n"/>
      <x:c r="I241" s="6" t="n"/>
      <x:c r="J241" s="6" t="n"/>
      <x:c r="K241" s="7" t="n"/>
      <x:c r="L241" s="7" t="n"/>
      <x:c r="M241" s="7" t="n"/>
      <x:c r="N241" s="7" t="n"/>
      <x:c r="O241" s="2" t="n"/>
      <x:c r="P241" s="7" t="n"/>
      <x:c r="Q241" s="7" t="n"/>
      <x:c r="R241" s="7" t="n"/>
      <x:c r="S241" s="7" t="n"/>
      <x:c r="T241" s="2" t="n"/>
      <x:c r="U241" s="7" t="n"/>
      <x:c r="V241" s="8">
        <x:f>IF(OR(U241="",O241="",K241=""),"", (U241-K241)*O241)</x:f>
      </x:c>
      <x:c r="W241" s="8">
        <x:f>IF(V241="","", V241-S241)</x:f>
      </x:c>
      <x:c r="X241" s="9">
        <x:f>IF(OR(W241="",N241=0),"", W241/N241)</x:f>
      </x:c>
      <x:c r="Y241" s="10">
        <x:f>IF(OR(W241="",Config!$B$2=0,Config!$B$1=0),"", W241/(Config!$B$1*Config!$B$2))</x:f>
      </x:c>
      <x:c r="Z241" s="2" t="inlineStr">
        <x:is>
          <x:t xml:space="preserve"/>
        </x:is>
      </x:c>
    </x:row>
    <x:row r="242">
      <x:c r="A242" s="2" t="n"/>
      <x:c r="B242" s="3" t="n"/>
      <x:c r="C242" s="2" t="n"/>
      <x:c r="D242" s="4" t="n"/>
      <x:c r="E242" s="2" t="n"/>
      <x:c r="F242" s="5" t="n"/>
      <x:c r="G242" s="5" t="n"/>
      <x:c r="H242" s="2" t="n"/>
      <x:c r="I242" s="6" t="n"/>
      <x:c r="J242" s="6" t="n"/>
      <x:c r="K242" s="7" t="n"/>
      <x:c r="L242" s="7" t="n"/>
      <x:c r="M242" s="7" t="n"/>
      <x:c r="N242" s="7" t="n"/>
      <x:c r="O242" s="2" t="n"/>
      <x:c r="P242" s="7" t="n"/>
      <x:c r="Q242" s="7" t="n"/>
      <x:c r="R242" s="7" t="n"/>
      <x:c r="S242" s="7" t="n"/>
      <x:c r="T242" s="2" t="n"/>
      <x:c r="U242" s="7" t="n"/>
      <x:c r="V242" s="8">
        <x:f>IF(OR(U242="",O242="",K242=""),"", (U242-K242)*O242)</x:f>
      </x:c>
      <x:c r="W242" s="8">
        <x:f>IF(V242="","", V242-S242)</x:f>
      </x:c>
      <x:c r="X242" s="9">
        <x:f>IF(OR(W242="",N242=0),"", W242/N242)</x:f>
      </x:c>
      <x:c r="Y242" s="10">
        <x:f>IF(OR(W242="",Config!$B$2=0,Config!$B$1=0),"", W242/(Config!$B$1*Config!$B$2))</x:f>
      </x:c>
      <x:c r="Z242" s="2" t="inlineStr">
        <x:is>
          <x:t xml:space="preserve"/>
        </x:is>
      </x:c>
    </x:row>
    <x:row r="243">
      <x:c r="A243" s="2" t="n"/>
      <x:c r="B243" s="3" t="n"/>
      <x:c r="C243" s="2" t="n"/>
      <x:c r="D243" s="4" t="n"/>
      <x:c r="E243" s="2" t="n"/>
      <x:c r="F243" s="5" t="n"/>
      <x:c r="G243" s="5" t="n"/>
      <x:c r="H243" s="2" t="n"/>
      <x:c r="I243" s="6" t="n"/>
      <x:c r="J243" s="6" t="n"/>
      <x:c r="K243" s="7" t="n"/>
      <x:c r="L243" s="7" t="n"/>
      <x:c r="M243" s="7" t="n"/>
      <x:c r="N243" s="7" t="n"/>
      <x:c r="O243" s="2" t="n"/>
      <x:c r="P243" s="7" t="n"/>
      <x:c r="Q243" s="7" t="n"/>
      <x:c r="R243" s="7" t="n"/>
      <x:c r="S243" s="7" t="n"/>
      <x:c r="T243" s="2" t="n"/>
      <x:c r="U243" s="7" t="n"/>
      <x:c r="V243" s="8">
        <x:f>IF(OR(U243="",O243="",K243=""),"", (U243-K243)*O243)</x:f>
      </x:c>
      <x:c r="W243" s="8">
        <x:f>IF(V243="","", V243-S243)</x:f>
      </x:c>
      <x:c r="X243" s="9">
        <x:f>IF(OR(W243="",N243=0),"", W243/N243)</x:f>
      </x:c>
      <x:c r="Y243" s="10">
        <x:f>IF(OR(W243="",Config!$B$2=0,Config!$B$1=0),"", W243/(Config!$B$1*Config!$B$2))</x:f>
      </x:c>
      <x:c r="Z243" s="2" t="inlineStr">
        <x:is>
          <x:t xml:space="preserve"/>
        </x:is>
      </x:c>
    </x:row>
    <x:row r="244">
      <x:c r="A244" s="2" t="n"/>
      <x:c r="B244" s="3" t="n"/>
      <x:c r="C244" s="2" t="n"/>
      <x:c r="D244" s="4" t="n"/>
      <x:c r="E244" s="2" t="n"/>
      <x:c r="F244" s="5" t="n"/>
      <x:c r="G244" s="5" t="n"/>
      <x:c r="H244" s="2" t="n"/>
      <x:c r="I244" s="6" t="n"/>
      <x:c r="J244" s="6" t="n"/>
      <x:c r="K244" s="7" t="n"/>
      <x:c r="L244" s="7" t="n"/>
      <x:c r="M244" s="7" t="n"/>
      <x:c r="N244" s="7" t="n"/>
      <x:c r="O244" s="2" t="n"/>
      <x:c r="P244" s="7" t="n"/>
      <x:c r="Q244" s="7" t="n"/>
      <x:c r="R244" s="7" t="n"/>
      <x:c r="S244" s="7" t="n"/>
      <x:c r="T244" s="2" t="n"/>
      <x:c r="U244" s="7" t="n"/>
      <x:c r="V244" s="8">
        <x:f>IF(OR(U244="",O244="",K244=""),"", (U244-K244)*O244)</x:f>
      </x:c>
      <x:c r="W244" s="8">
        <x:f>IF(V244="","", V244-S244)</x:f>
      </x:c>
      <x:c r="X244" s="9">
        <x:f>IF(OR(W244="",N244=0),"", W244/N244)</x:f>
      </x:c>
      <x:c r="Y244" s="10">
        <x:f>IF(OR(W244="",Config!$B$2=0,Config!$B$1=0),"", W244/(Config!$B$1*Config!$B$2))</x:f>
      </x:c>
      <x:c r="Z244" s="2" t="inlineStr">
        <x:is>
          <x:t xml:space="preserve"/>
        </x:is>
      </x:c>
    </x:row>
    <x:row r="245">
      <x:c r="A245" s="2" t="n"/>
      <x:c r="B245" s="3" t="n"/>
      <x:c r="C245" s="2" t="n"/>
      <x:c r="D245" s="4" t="n"/>
      <x:c r="E245" s="2" t="n"/>
      <x:c r="F245" s="5" t="n"/>
      <x:c r="G245" s="5" t="n"/>
      <x:c r="H245" s="2" t="n"/>
      <x:c r="I245" s="6" t="n"/>
      <x:c r="J245" s="6" t="n"/>
      <x:c r="K245" s="7" t="n"/>
      <x:c r="L245" s="7" t="n"/>
      <x:c r="M245" s="7" t="n"/>
      <x:c r="N245" s="7" t="n"/>
      <x:c r="O245" s="2" t="n"/>
      <x:c r="P245" s="7" t="n"/>
      <x:c r="Q245" s="7" t="n"/>
      <x:c r="R245" s="7" t="n"/>
      <x:c r="S245" s="7" t="n"/>
      <x:c r="T245" s="2" t="n"/>
      <x:c r="U245" s="7" t="n"/>
      <x:c r="V245" s="8">
        <x:f>IF(OR(U245="",O245="",K245=""),"", (U245-K245)*O245)</x:f>
      </x:c>
      <x:c r="W245" s="8">
        <x:f>IF(V245="","", V245-S245)</x:f>
      </x:c>
      <x:c r="X245" s="9">
        <x:f>IF(OR(W245="",N245=0),"", W245/N245)</x:f>
      </x:c>
      <x:c r="Y245" s="10">
        <x:f>IF(OR(W245="",Config!$B$2=0,Config!$B$1=0),"", W245/(Config!$B$1*Config!$B$2))</x:f>
      </x:c>
      <x:c r="Z245" s="2" t="inlineStr">
        <x:is>
          <x:t xml:space="preserve"/>
        </x:is>
      </x:c>
    </x:row>
    <x:row r="246">
      <x:c r="A246" s="2" t="n"/>
      <x:c r="B246" s="3" t="n"/>
      <x:c r="C246" s="2" t="n"/>
      <x:c r="D246" s="4" t="n"/>
      <x:c r="E246" s="2" t="n"/>
      <x:c r="F246" s="5" t="n"/>
      <x:c r="G246" s="5" t="n"/>
      <x:c r="H246" s="2" t="n"/>
      <x:c r="I246" s="6" t="n"/>
      <x:c r="J246" s="6" t="n"/>
      <x:c r="K246" s="7" t="n"/>
      <x:c r="L246" s="7" t="n"/>
      <x:c r="M246" s="7" t="n"/>
      <x:c r="N246" s="7" t="n"/>
      <x:c r="O246" s="2" t="n"/>
      <x:c r="P246" s="7" t="n"/>
      <x:c r="Q246" s="7" t="n"/>
      <x:c r="R246" s="7" t="n"/>
      <x:c r="S246" s="7" t="n"/>
      <x:c r="T246" s="2" t="n"/>
      <x:c r="U246" s="7" t="n"/>
      <x:c r="V246" s="8">
        <x:f>IF(OR(U246="",O246="",K246=""),"", (U246-K246)*O246)</x:f>
      </x:c>
      <x:c r="W246" s="8">
        <x:f>IF(V246="","", V246-S246)</x:f>
      </x:c>
      <x:c r="X246" s="9">
        <x:f>IF(OR(W246="",N246=0),"", W246/N246)</x:f>
      </x:c>
      <x:c r="Y246" s="10">
        <x:f>IF(OR(W246="",Config!$B$2=0,Config!$B$1=0),"", W246/(Config!$B$1*Config!$B$2))</x:f>
      </x:c>
      <x:c r="Z246" s="2" t="inlineStr">
        <x:is>
          <x:t xml:space="preserve"/>
        </x:is>
      </x:c>
    </x:row>
    <x:row r="247">
      <x:c r="A247" s="2" t="n"/>
      <x:c r="B247" s="3" t="n"/>
      <x:c r="C247" s="2" t="n"/>
      <x:c r="D247" s="4" t="n"/>
      <x:c r="E247" s="2" t="n"/>
      <x:c r="F247" s="5" t="n"/>
      <x:c r="G247" s="5" t="n"/>
      <x:c r="H247" s="2" t="n"/>
      <x:c r="I247" s="6" t="n"/>
      <x:c r="J247" s="6" t="n"/>
      <x:c r="K247" s="7" t="n"/>
      <x:c r="L247" s="7" t="n"/>
      <x:c r="M247" s="7" t="n"/>
      <x:c r="N247" s="7" t="n"/>
      <x:c r="O247" s="2" t="n"/>
      <x:c r="P247" s="7" t="n"/>
      <x:c r="Q247" s="7" t="n"/>
      <x:c r="R247" s="7" t="n"/>
      <x:c r="S247" s="7" t="n"/>
      <x:c r="T247" s="2" t="n"/>
      <x:c r="U247" s="7" t="n"/>
      <x:c r="V247" s="8">
        <x:f>IF(OR(U247="",O247="",K247=""),"", (U247-K247)*O247)</x:f>
      </x:c>
      <x:c r="W247" s="8">
        <x:f>IF(V247="","", V247-S247)</x:f>
      </x:c>
      <x:c r="X247" s="9">
        <x:f>IF(OR(W247="",N247=0),"", W247/N247)</x:f>
      </x:c>
      <x:c r="Y247" s="10">
        <x:f>IF(OR(W247="",Config!$B$2=0,Config!$B$1=0),"", W247/(Config!$B$1*Config!$B$2))</x:f>
      </x:c>
      <x:c r="Z247" s="2" t="inlineStr">
        <x:is>
          <x:t xml:space="preserve"/>
        </x:is>
      </x:c>
    </x:row>
    <x:row r="248">
      <x:c r="A248" s="2" t="n"/>
      <x:c r="B248" s="3" t="n"/>
      <x:c r="C248" s="2" t="n"/>
      <x:c r="D248" s="4" t="n"/>
      <x:c r="E248" s="2" t="n"/>
      <x:c r="F248" s="5" t="n"/>
      <x:c r="G248" s="5" t="n"/>
      <x:c r="H248" s="2" t="n"/>
      <x:c r="I248" s="6" t="n"/>
      <x:c r="J248" s="6" t="n"/>
      <x:c r="K248" s="7" t="n"/>
      <x:c r="L248" s="7" t="n"/>
      <x:c r="M248" s="7" t="n"/>
      <x:c r="N248" s="7" t="n"/>
      <x:c r="O248" s="2" t="n"/>
      <x:c r="P248" s="7" t="n"/>
      <x:c r="Q248" s="7" t="n"/>
      <x:c r="R248" s="7" t="n"/>
      <x:c r="S248" s="7" t="n"/>
      <x:c r="T248" s="2" t="n"/>
      <x:c r="U248" s="7" t="n"/>
      <x:c r="V248" s="8">
        <x:f>IF(OR(U248="",O248="",K248=""),"", (U248-K248)*O248)</x:f>
      </x:c>
      <x:c r="W248" s="8">
        <x:f>IF(V248="","", V248-S248)</x:f>
      </x:c>
      <x:c r="X248" s="9">
        <x:f>IF(OR(W248="",N248=0),"", W248/N248)</x:f>
      </x:c>
      <x:c r="Y248" s="10">
        <x:f>IF(OR(W248="",Config!$B$2=0,Config!$B$1=0),"", W248/(Config!$B$1*Config!$B$2))</x:f>
      </x:c>
      <x:c r="Z248" s="2" t="inlineStr">
        <x:is>
          <x:t xml:space="preserve"/>
        </x:is>
      </x:c>
    </x:row>
    <x:row r="249">
      <x:c r="A249" s="2" t="n"/>
      <x:c r="B249" s="3" t="n"/>
      <x:c r="C249" s="2" t="n"/>
      <x:c r="D249" s="4" t="n"/>
      <x:c r="E249" s="2" t="n"/>
      <x:c r="F249" s="5" t="n"/>
      <x:c r="G249" s="5" t="n"/>
      <x:c r="H249" s="2" t="n"/>
      <x:c r="I249" s="6" t="n"/>
      <x:c r="J249" s="6" t="n"/>
      <x:c r="K249" s="7" t="n"/>
      <x:c r="L249" s="7" t="n"/>
      <x:c r="M249" s="7" t="n"/>
      <x:c r="N249" s="7" t="n"/>
      <x:c r="O249" s="2" t="n"/>
      <x:c r="P249" s="7" t="n"/>
      <x:c r="Q249" s="7" t="n"/>
      <x:c r="R249" s="7" t="n"/>
      <x:c r="S249" s="7" t="n"/>
      <x:c r="T249" s="2" t="n"/>
      <x:c r="U249" s="7" t="n"/>
      <x:c r="V249" s="8">
        <x:f>IF(OR(U249="",O249="",K249=""),"", (U249-K249)*O249)</x:f>
      </x:c>
      <x:c r="W249" s="8">
        <x:f>IF(V249="","", V249-S249)</x:f>
      </x:c>
      <x:c r="X249" s="9">
        <x:f>IF(OR(W249="",N249=0),"", W249/N249)</x:f>
      </x:c>
      <x:c r="Y249" s="10">
        <x:f>IF(OR(W249="",Config!$B$2=0,Config!$B$1=0),"", W249/(Config!$B$1*Config!$B$2))</x:f>
      </x:c>
      <x:c r="Z249" s="2" t="inlineStr">
        <x:is>
          <x:t xml:space="preserve"/>
        </x:is>
      </x:c>
    </x:row>
    <x:row r="250">
      <x:c r="A250" s="2" t="n"/>
      <x:c r="B250" s="3" t="n"/>
      <x:c r="C250" s="2" t="n"/>
      <x:c r="D250" s="4" t="n"/>
      <x:c r="E250" s="2" t="n"/>
      <x:c r="F250" s="5" t="n"/>
      <x:c r="G250" s="5" t="n"/>
      <x:c r="H250" s="2" t="n"/>
      <x:c r="I250" s="6" t="n"/>
      <x:c r="J250" s="6" t="n"/>
      <x:c r="K250" s="7" t="n"/>
      <x:c r="L250" s="7" t="n"/>
      <x:c r="M250" s="7" t="n"/>
      <x:c r="N250" s="7" t="n"/>
      <x:c r="O250" s="2" t="n"/>
      <x:c r="P250" s="7" t="n"/>
      <x:c r="Q250" s="7" t="n"/>
      <x:c r="R250" s="7" t="n"/>
      <x:c r="S250" s="7" t="n"/>
      <x:c r="T250" s="2" t="n"/>
      <x:c r="U250" s="7" t="n"/>
      <x:c r="V250" s="8">
        <x:f>IF(OR(U250="",O250="",K250=""),"", (U250-K250)*O250)</x:f>
      </x:c>
      <x:c r="W250" s="8">
        <x:f>IF(V250="","", V250-S250)</x:f>
      </x:c>
      <x:c r="X250" s="9">
        <x:f>IF(OR(W250="",N250=0),"", W250/N250)</x:f>
      </x:c>
      <x:c r="Y250" s="10">
        <x:f>IF(OR(W250="",Config!$B$2=0,Config!$B$1=0),"", W250/(Config!$B$1*Config!$B$2))</x:f>
      </x:c>
      <x:c r="Z250" s="2" t="inlineStr">
        <x:is>
          <x:t xml:space="preserve"/>
        </x:is>
      </x:c>
    </x:row>
    <x:row r="251">
      <x:c r="A251" s="2" t="n"/>
      <x:c r="B251" s="3" t="n"/>
      <x:c r="C251" s="2" t="n"/>
      <x:c r="D251" s="4" t="n"/>
      <x:c r="E251" s="2" t="n"/>
      <x:c r="F251" s="5" t="n"/>
      <x:c r="G251" s="5" t="n"/>
      <x:c r="H251" s="2" t="n"/>
      <x:c r="I251" s="6" t="n"/>
      <x:c r="J251" s="6" t="n"/>
      <x:c r="K251" s="7" t="n"/>
      <x:c r="L251" s="7" t="n"/>
      <x:c r="M251" s="7" t="n"/>
      <x:c r="N251" s="7" t="n"/>
      <x:c r="O251" s="2" t="n"/>
      <x:c r="P251" s="7" t="n"/>
      <x:c r="Q251" s="7" t="n"/>
      <x:c r="R251" s="7" t="n"/>
      <x:c r="S251" s="7" t="n"/>
      <x:c r="T251" s="2" t="n"/>
      <x:c r="U251" s="7" t="n"/>
      <x:c r="V251" s="8">
        <x:f>IF(OR(U251="",O251="",K251=""),"", (U251-K251)*O251)</x:f>
      </x:c>
      <x:c r="W251" s="8">
        <x:f>IF(V251="","", V251-S251)</x:f>
      </x:c>
      <x:c r="X251" s="9">
        <x:f>IF(OR(W251="",N251=0),"", W251/N251)</x:f>
      </x:c>
      <x:c r="Y251" s="10">
        <x:f>IF(OR(W251="",Config!$B$2=0,Config!$B$1=0),"", W251/(Config!$B$1*Config!$B$2))</x:f>
      </x:c>
      <x:c r="Z251" s="2" t="inlineStr">
        <x:is>
          <x:t xml:space="preserve"/>
        </x:is>
      </x:c>
    </x:row>
    <x:row r="252">
      <x:c r="A252" s="2" t="n"/>
      <x:c r="B252" s="3" t="n"/>
      <x:c r="C252" s="2" t="n"/>
      <x:c r="D252" s="4" t="n"/>
      <x:c r="E252" s="2" t="n"/>
      <x:c r="F252" s="5" t="n"/>
      <x:c r="G252" s="5" t="n"/>
      <x:c r="H252" s="2" t="n"/>
      <x:c r="I252" s="6" t="n"/>
      <x:c r="J252" s="6" t="n"/>
      <x:c r="K252" s="7" t="n"/>
      <x:c r="L252" s="7" t="n"/>
      <x:c r="M252" s="7" t="n"/>
      <x:c r="N252" s="7" t="n"/>
      <x:c r="O252" s="2" t="n"/>
      <x:c r="P252" s="7" t="n"/>
      <x:c r="Q252" s="7" t="n"/>
      <x:c r="R252" s="7" t="n"/>
      <x:c r="S252" s="7" t="n"/>
      <x:c r="T252" s="2" t="n"/>
      <x:c r="U252" s="7" t="n"/>
      <x:c r="V252" s="8">
        <x:f>IF(OR(U252="",O252="",K252=""),"", (U252-K252)*O252)</x:f>
      </x:c>
      <x:c r="W252" s="8">
        <x:f>IF(V252="","", V252-S252)</x:f>
      </x:c>
      <x:c r="X252" s="9">
        <x:f>IF(OR(W252="",N252=0),"", W252/N252)</x:f>
      </x:c>
      <x:c r="Y252" s="10">
        <x:f>IF(OR(W252="",Config!$B$2=0,Config!$B$1=0),"", W252/(Config!$B$1*Config!$B$2))</x:f>
      </x:c>
      <x:c r="Z252" s="2" t="inlineStr">
        <x:is>
          <x:t xml:space="preserve"/>
        </x:is>
      </x:c>
    </x:row>
    <x:row r="253">
      <x:c r="A253" s="2" t="n"/>
      <x:c r="B253" s="3" t="n"/>
      <x:c r="C253" s="2" t="n"/>
      <x:c r="D253" s="4" t="n"/>
      <x:c r="E253" s="2" t="n"/>
      <x:c r="F253" s="5" t="n"/>
      <x:c r="G253" s="5" t="n"/>
      <x:c r="H253" s="2" t="n"/>
      <x:c r="I253" s="6" t="n"/>
      <x:c r="J253" s="6" t="n"/>
      <x:c r="K253" s="7" t="n"/>
      <x:c r="L253" s="7" t="n"/>
      <x:c r="M253" s="7" t="n"/>
      <x:c r="N253" s="7" t="n"/>
      <x:c r="O253" s="2" t="n"/>
      <x:c r="P253" s="7" t="n"/>
      <x:c r="Q253" s="7" t="n"/>
      <x:c r="R253" s="7" t="n"/>
      <x:c r="S253" s="7" t="n"/>
      <x:c r="T253" s="2" t="n"/>
      <x:c r="U253" s="7" t="n"/>
      <x:c r="V253" s="8">
        <x:f>IF(OR(U253="",O253="",K253=""),"", (U253-K253)*O253)</x:f>
      </x:c>
      <x:c r="W253" s="8">
        <x:f>IF(V253="","", V253-S253)</x:f>
      </x:c>
      <x:c r="X253" s="9">
        <x:f>IF(OR(W253="",N253=0),"", W253/N253)</x:f>
      </x:c>
      <x:c r="Y253" s="10">
        <x:f>IF(OR(W253="",Config!$B$2=0,Config!$B$1=0),"", W253/(Config!$B$1*Config!$B$2))</x:f>
      </x:c>
      <x:c r="Z253" s="2" t="inlineStr">
        <x:is>
          <x:t xml:space="preserve"/>
        </x:is>
      </x:c>
    </x:row>
    <x:row r="254">
      <x:c r="A254" s="2" t="n"/>
      <x:c r="B254" s="3" t="n"/>
      <x:c r="C254" s="2" t="n"/>
      <x:c r="D254" s="4" t="n"/>
      <x:c r="E254" s="2" t="n"/>
      <x:c r="F254" s="5" t="n"/>
      <x:c r="G254" s="5" t="n"/>
      <x:c r="H254" s="2" t="n"/>
      <x:c r="I254" s="6" t="n"/>
      <x:c r="J254" s="6" t="n"/>
      <x:c r="K254" s="7" t="n"/>
      <x:c r="L254" s="7" t="n"/>
      <x:c r="M254" s="7" t="n"/>
      <x:c r="N254" s="7" t="n"/>
      <x:c r="O254" s="2" t="n"/>
      <x:c r="P254" s="7" t="n"/>
      <x:c r="Q254" s="7" t="n"/>
      <x:c r="R254" s="7" t="n"/>
      <x:c r="S254" s="7" t="n"/>
      <x:c r="T254" s="2" t="n"/>
      <x:c r="U254" s="7" t="n"/>
      <x:c r="V254" s="8">
        <x:f>IF(OR(U254="",O254="",K254=""),"", (U254-K254)*O254)</x:f>
      </x:c>
      <x:c r="W254" s="8">
        <x:f>IF(V254="","", V254-S254)</x:f>
      </x:c>
      <x:c r="X254" s="9">
        <x:f>IF(OR(W254="",N254=0),"", W254/N254)</x:f>
      </x:c>
      <x:c r="Y254" s="10">
        <x:f>IF(OR(W254="",Config!$B$2=0,Config!$B$1=0),"", W254/(Config!$B$1*Config!$B$2))</x:f>
      </x:c>
      <x:c r="Z254" s="2" t="inlineStr">
        <x:is>
          <x:t xml:space="preserve"/>
        </x:is>
      </x:c>
    </x:row>
    <x:row r="255">
      <x:c r="A255" s="2" t="n"/>
      <x:c r="B255" s="3" t="n"/>
      <x:c r="C255" s="2" t="n"/>
      <x:c r="D255" s="4" t="n"/>
      <x:c r="E255" s="2" t="n"/>
      <x:c r="F255" s="5" t="n"/>
      <x:c r="G255" s="5" t="n"/>
      <x:c r="H255" s="2" t="n"/>
      <x:c r="I255" s="6" t="n"/>
      <x:c r="J255" s="6" t="n"/>
      <x:c r="K255" s="7" t="n"/>
      <x:c r="L255" s="7" t="n"/>
      <x:c r="M255" s="7" t="n"/>
      <x:c r="N255" s="7" t="n"/>
      <x:c r="O255" s="2" t="n"/>
      <x:c r="P255" s="7" t="n"/>
      <x:c r="Q255" s="7" t="n"/>
      <x:c r="R255" s="7" t="n"/>
      <x:c r="S255" s="7" t="n"/>
      <x:c r="T255" s="2" t="n"/>
      <x:c r="U255" s="7" t="n"/>
      <x:c r="V255" s="8">
        <x:f>IF(OR(U255="",O255="",K255=""),"", (U255-K255)*O255)</x:f>
      </x:c>
      <x:c r="W255" s="8">
        <x:f>IF(V255="","", V255-S255)</x:f>
      </x:c>
      <x:c r="X255" s="9">
        <x:f>IF(OR(W255="",N255=0),"", W255/N255)</x:f>
      </x:c>
      <x:c r="Y255" s="10">
        <x:f>IF(OR(W255="",Config!$B$2=0,Config!$B$1=0),"", W255/(Config!$B$1*Config!$B$2))</x:f>
      </x:c>
      <x:c r="Z255" s="2" t="inlineStr">
        <x:is>
          <x:t xml:space="preserve"/>
        </x:is>
      </x:c>
    </x:row>
    <x:row r="256">
      <x:c r="A256" s="2" t="n"/>
      <x:c r="B256" s="3" t="n"/>
      <x:c r="C256" s="2" t="n"/>
      <x:c r="D256" s="4" t="n"/>
      <x:c r="E256" s="2" t="n"/>
      <x:c r="F256" s="5" t="n"/>
      <x:c r="G256" s="5" t="n"/>
      <x:c r="H256" s="2" t="n"/>
      <x:c r="I256" s="6" t="n"/>
      <x:c r="J256" s="6" t="n"/>
      <x:c r="K256" s="7" t="n"/>
      <x:c r="L256" s="7" t="n"/>
      <x:c r="M256" s="7" t="n"/>
      <x:c r="N256" s="7" t="n"/>
      <x:c r="O256" s="2" t="n"/>
      <x:c r="P256" s="7" t="n"/>
      <x:c r="Q256" s="7" t="n"/>
      <x:c r="R256" s="7" t="n"/>
      <x:c r="S256" s="7" t="n"/>
      <x:c r="T256" s="2" t="n"/>
      <x:c r="U256" s="7" t="n"/>
      <x:c r="V256" s="8">
        <x:f>IF(OR(U256="",O256="",K256=""),"", (U256-K256)*O256)</x:f>
      </x:c>
      <x:c r="W256" s="8">
        <x:f>IF(V256="","", V256-S256)</x:f>
      </x:c>
      <x:c r="X256" s="9">
        <x:f>IF(OR(W256="",N256=0),"", W256/N256)</x:f>
      </x:c>
      <x:c r="Y256" s="10">
        <x:f>IF(OR(W256="",Config!$B$2=0,Config!$B$1=0),"", W256/(Config!$B$1*Config!$B$2))</x:f>
      </x:c>
      <x:c r="Z256" s="2" t="inlineStr">
        <x:is>
          <x:t xml:space="preserve"/>
        </x:is>
      </x:c>
    </x:row>
    <x:row r="257">
      <x:c r="A257" s="2" t="n"/>
      <x:c r="B257" s="3" t="n"/>
      <x:c r="C257" s="2" t="n"/>
      <x:c r="D257" s="4" t="n"/>
      <x:c r="E257" s="2" t="n"/>
      <x:c r="F257" s="5" t="n"/>
      <x:c r="G257" s="5" t="n"/>
      <x:c r="H257" s="2" t="n"/>
      <x:c r="I257" s="6" t="n"/>
      <x:c r="J257" s="6" t="n"/>
      <x:c r="K257" s="7" t="n"/>
      <x:c r="L257" s="7" t="n"/>
      <x:c r="M257" s="7" t="n"/>
      <x:c r="N257" s="7" t="n"/>
      <x:c r="O257" s="2" t="n"/>
      <x:c r="P257" s="7" t="n"/>
      <x:c r="Q257" s="7" t="n"/>
      <x:c r="R257" s="7" t="n"/>
      <x:c r="S257" s="7" t="n"/>
      <x:c r="T257" s="2" t="n"/>
      <x:c r="U257" s="7" t="n"/>
      <x:c r="V257" s="8">
        <x:f>IF(OR(U257="",O257="",K257=""),"", (U257-K257)*O257)</x:f>
      </x:c>
      <x:c r="W257" s="8">
        <x:f>IF(V257="","", V257-S257)</x:f>
      </x:c>
      <x:c r="X257" s="9">
        <x:f>IF(OR(W257="",N257=0),"", W257/N257)</x:f>
      </x:c>
      <x:c r="Y257" s="10">
        <x:f>IF(OR(W257="",Config!$B$2=0,Config!$B$1=0),"", W257/(Config!$B$1*Config!$B$2))</x:f>
      </x:c>
      <x:c r="Z257" s="2" t="inlineStr">
        <x:is>
          <x:t xml:space="preserve"/>
        </x:is>
      </x:c>
    </x:row>
    <x:row r="258">
      <x:c r="A258" s="2" t="n"/>
      <x:c r="B258" s="3" t="n"/>
      <x:c r="C258" s="2" t="n"/>
      <x:c r="D258" s="4" t="n"/>
      <x:c r="E258" s="2" t="n"/>
      <x:c r="F258" s="5" t="n"/>
      <x:c r="G258" s="5" t="n"/>
      <x:c r="H258" s="2" t="n"/>
      <x:c r="I258" s="6" t="n"/>
      <x:c r="J258" s="6" t="n"/>
      <x:c r="K258" s="7" t="n"/>
      <x:c r="L258" s="7" t="n"/>
      <x:c r="M258" s="7" t="n"/>
      <x:c r="N258" s="7" t="n"/>
      <x:c r="O258" s="2" t="n"/>
      <x:c r="P258" s="7" t="n"/>
      <x:c r="Q258" s="7" t="n"/>
      <x:c r="R258" s="7" t="n"/>
      <x:c r="S258" s="7" t="n"/>
      <x:c r="T258" s="2" t="n"/>
      <x:c r="U258" s="7" t="n"/>
      <x:c r="V258" s="8">
        <x:f>IF(OR(U258="",O258="",K258=""),"", (U258-K258)*O258)</x:f>
      </x:c>
      <x:c r="W258" s="8">
        <x:f>IF(V258="","", V258-S258)</x:f>
      </x:c>
      <x:c r="X258" s="9">
        <x:f>IF(OR(W258="",N258=0),"", W258/N258)</x:f>
      </x:c>
      <x:c r="Y258" s="10">
        <x:f>IF(OR(W258="",Config!$B$2=0,Config!$B$1=0),"", W258/(Config!$B$1*Config!$B$2))</x:f>
      </x:c>
      <x:c r="Z258" s="2" t="inlineStr">
        <x:is>
          <x:t xml:space="preserve"/>
        </x:is>
      </x:c>
    </x:row>
    <x:row r="259">
      <x:c r="A259" s="2" t="n"/>
      <x:c r="B259" s="3" t="n"/>
      <x:c r="C259" s="2" t="n"/>
      <x:c r="D259" s="4" t="n"/>
      <x:c r="E259" s="2" t="n"/>
      <x:c r="F259" s="5" t="n"/>
      <x:c r="G259" s="5" t="n"/>
      <x:c r="H259" s="2" t="n"/>
      <x:c r="I259" s="6" t="n"/>
      <x:c r="J259" s="6" t="n"/>
      <x:c r="K259" s="7" t="n"/>
      <x:c r="L259" s="7" t="n"/>
      <x:c r="M259" s="7" t="n"/>
      <x:c r="N259" s="7" t="n"/>
      <x:c r="O259" s="2" t="n"/>
      <x:c r="P259" s="7" t="n"/>
      <x:c r="Q259" s="7" t="n"/>
      <x:c r="R259" s="7" t="n"/>
      <x:c r="S259" s="7" t="n"/>
      <x:c r="T259" s="2" t="n"/>
      <x:c r="U259" s="7" t="n"/>
      <x:c r="V259" s="8">
        <x:f>IF(OR(U259="",O259="",K259=""),"", (U259-K259)*O259)</x:f>
      </x:c>
      <x:c r="W259" s="8">
        <x:f>IF(V259="","", V259-S259)</x:f>
      </x:c>
      <x:c r="X259" s="9">
        <x:f>IF(OR(W259="",N259=0),"", W259/N259)</x:f>
      </x:c>
      <x:c r="Y259" s="10">
        <x:f>IF(OR(W259="",Config!$B$2=0,Config!$B$1=0),"", W259/(Config!$B$1*Config!$B$2))</x:f>
      </x:c>
      <x:c r="Z259" s="2" t="inlineStr">
        <x:is>
          <x:t xml:space="preserve"/>
        </x:is>
      </x:c>
    </x:row>
    <x:row r="260">
      <x:c r="A260" s="2" t="n"/>
      <x:c r="B260" s="3" t="n"/>
      <x:c r="C260" s="2" t="n"/>
      <x:c r="D260" s="4" t="n"/>
      <x:c r="E260" s="2" t="n"/>
      <x:c r="F260" s="5" t="n"/>
      <x:c r="G260" s="5" t="n"/>
      <x:c r="H260" s="2" t="n"/>
      <x:c r="I260" s="6" t="n"/>
      <x:c r="J260" s="6" t="n"/>
      <x:c r="K260" s="7" t="n"/>
      <x:c r="L260" s="7" t="n"/>
      <x:c r="M260" s="7" t="n"/>
      <x:c r="N260" s="7" t="n"/>
      <x:c r="O260" s="2" t="n"/>
      <x:c r="P260" s="7" t="n"/>
      <x:c r="Q260" s="7" t="n"/>
      <x:c r="R260" s="7" t="n"/>
      <x:c r="S260" s="7" t="n"/>
      <x:c r="T260" s="2" t="n"/>
      <x:c r="U260" s="7" t="n"/>
      <x:c r="V260" s="8">
        <x:f>IF(OR(U260="",O260="",K260=""),"", (U260-K260)*O260)</x:f>
      </x:c>
      <x:c r="W260" s="8">
        <x:f>IF(V260="","", V260-S260)</x:f>
      </x:c>
      <x:c r="X260" s="9">
        <x:f>IF(OR(W260="",N260=0),"", W260/N260)</x:f>
      </x:c>
      <x:c r="Y260" s="10">
        <x:f>IF(OR(W260="",Config!$B$2=0,Config!$B$1=0),"", W260/(Config!$B$1*Config!$B$2))</x:f>
      </x:c>
      <x:c r="Z260" s="2" t="inlineStr">
        <x:is>
          <x:t xml:space="preserve"/>
        </x:is>
      </x:c>
    </x:row>
    <x:row r="261">
      <x:c r="A261" s="2" t="n"/>
      <x:c r="B261" s="3" t="n"/>
      <x:c r="C261" s="2" t="n"/>
      <x:c r="D261" s="4" t="n"/>
      <x:c r="E261" s="2" t="n"/>
      <x:c r="F261" s="5" t="n"/>
      <x:c r="G261" s="5" t="n"/>
      <x:c r="H261" s="2" t="n"/>
      <x:c r="I261" s="6" t="n"/>
      <x:c r="J261" s="6" t="n"/>
      <x:c r="K261" s="7" t="n"/>
      <x:c r="L261" s="7" t="n"/>
      <x:c r="M261" s="7" t="n"/>
      <x:c r="N261" s="7" t="n"/>
      <x:c r="O261" s="2" t="n"/>
      <x:c r="P261" s="7" t="n"/>
      <x:c r="Q261" s="7" t="n"/>
      <x:c r="R261" s="7" t="n"/>
      <x:c r="S261" s="7" t="n"/>
      <x:c r="T261" s="2" t="n"/>
      <x:c r="U261" s="7" t="n"/>
      <x:c r="V261" s="8">
        <x:f>IF(OR(U261="",O261="",K261=""),"", (U261-K261)*O261)</x:f>
      </x:c>
      <x:c r="W261" s="8">
        <x:f>IF(V261="","", V261-S261)</x:f>
      </x:c>
      <x:c r="X261" s="9">
        <x:f>IF(OR(W261="",N261=0),"", W261/N261)</x:f>
      </x:c>
      <x:c r="Y261" s="10">
        <x:f>IF(OR(W261="",Config!$B$2=0,Config!$B$1=0),"", W261/(Config!$B$1*Config!$B$2))</x:f>
      </x:c>
      <x:c r="Z261" s="2" t="inlineStr">
        <x:is>
          <x:t xml:space="preserve"/>
        </x:is>
      </x:c>
    </x:row>
    <x:row r="262">
      <x:c r="A262" s="2" t="n"/>
      <x:c r="B262" s="3" t="n"/>
      <x:c r="C262" s="2" t="n"/>
      <x:c r="D262" s="4" t="n"/>
      <x:c r="E262" s="2" t="n"/>
      <x:c r="F262" s="5" t="n"/>
      <x:c r="G262" s="5" t="n"/>
      <x:c r="H262" s="2" t="n"/>
      <x:c r="I262" s="6" t="n"/>
      <x:c r="J262" s="6" t="n"/>
      <x:c r="K262" s="7" t="n"/>
      <x:c r="L262" s="7" t="n"/>
      <x:c r="M262" s="7" t="n"/>
      <x:c r="N262" s="7" t="n"/>
      <x:c r="O262" s="2" t="n"/>
      <x:c r="P262" s="7" t="n"/>
      <x:c r="Q262" s="7" t="n"/>
      <x:c r="R262" s="7" t="n"/>
      <x:c r="S262" s="7" t="n"/>
      <x:c r="T262" s="2" t="n"/>
      <x:c r="U262" s="7" t="n"/>
      <x:c r="V262" s="8">
        <x:f>IF(OR(U262="",O262="",K262=""),"", (U262-K262)*O262)</x:f>
      </x:c>
      <x:c r="W262" s="8">
        <x:f>IF(V262="","", V262-S262)</x:f>
      </x:c>
      <x:c r="X262" s="9">
        <x:f>IF(OR(W262="",N262=0),"", W262/N262)</x:f>
      </x:c>
      <x:c r="Y262" s="10">
        <x:f>IF(OR(W262="",Config!$B$2=0,Config!$B$1=0),"", W262/(Config!$B$1*Config!$B$2))</x:f>
      </x:c>
      <x:c r="Z262" s="2" t="inlineStr">
        <x:is>
          <x:t xml:space="preserve"/>
        </x:is>
      </x:c>
    </x:row>
    <x:row r="263">
      <x:c r="A263" s="2" t="n"/>
      <x:c r="B263" s="3" t="n"/>
      <x:c r="C263" s="2" t="n"/>
      <x:c r="D263" s="4" t="n"/>
      <x:c r="E263" s="2" t="n"/>
      <x:c r="F263" s="5" t="n"/>
      <x:c r="G263" s="5" t="n"/>
      <x:c r="H263" s="2" t="n"/>
      <x:c r="I263" s="6" t="n"/>
      <x:c r="J263" s="6" t="n"/>
      <x:c r="K263" s="7" t="n"/>
      <x:c r="L263" s="7" t="n"/>
      <x:c r="M263" s="7" t="n"/>
      <x:c r="N263" s="7" t="n"/>
      <x:c r="O263" s="2" t="n"/>
      <x:c r="P263" s="7" t="n"/>
      <x:c r="Q263" s="7" t="n"/>
      <x:c r="R263" s="7" t="n"/>
      <x:c r="S263" s="7" t="n"/>
      <x:c r="T263" s="2" t="n"/>
      <x:c r="U263" s="7" t="n"/>
      <x:c r="V263" s="8">
        <x:f>IF(OR(U263="",O263="",K263=""),"", (U263-K263)*O263)</x:f>
      </x:c>
      <x:c r="W263" s="8">
        <x:f>IF(V263="","", V263-S263)</x:f>
      </x:c>
      <x:c r="X263" s="9">
        <x:f>IF(OR(W263="",N263=0),"", W263/N263)</x:f>
      </x:c>
      <x:c r="Y263" s="10">
        <x:f>IF(OR(W263="",Config!$B$2=0,Config!$B$1=0),"", W263/(Config!$B$1*Config!$B$2))</x:f>
      </x:c>
      <x:c r="Z263" s="2" t="inlineStr">
        <x:is>
          <x:t xml:space="preserve"/>
        </x:is>
      </x:c>
    </x:row>
    <x:row r="264">
      <x:c r="A264" s="2" t="n"/>
      <x:c r="B264" s="3" t="n"/>
      <x:c r="C264" s="2" t="n"/>
      <x:c r="D264" s="4" t="n"/>
      <x:c r="E264" s="2" t="n"/>
      <x:c r="F264" s="5" t="n"/>
      <x:c r="G264" s="5" t="n"/>
      <x:c r="H264" s="2" t="n"/>
      <x:c r="I264" s="6" t="n"/>
      <x:c r="J264" s="6" t="n"/>
      <x:c r="K264" s="7" t="n"/>
      <x:c r="L264" s="7" t="n"/>
      <x:c r="M264" s="7" t="n"/>
      <x:c r="N264" s="7" t="n"/>
      <x:c r="O264" s="2" t="n"/>
      <x:c r="P264" s="7" t="n"/>
      <x:c r="Q264" s="7" t="n"/>
      <x:c r="R264" s="7" t="n"/>
      <x:c r="S264" s="7" t="n"/>
      <x:c r="T264" s="2" t="n"/>
      <x:c r="U264" s="7" t="n"/>
      <x:c r="V264" s="8">
        <x:f>IF(OR(U264="",O264="",K264=""),"", (U264-K264)*O264)</x:f>
      </x:c>
      <x:c r="W264" s="8">
        <x:f>IF(V264="","", V264-S264)</x:f>
      </x:c>
      <x:c r="X264" s="9">
        <x:f>IF(OR(W264="",N264=0),"", W264/N264)</x:f>
      </x:c>
      <x:c r="Y264" s="10">
        <x:f>IF(OR(W264="",Config!$B$2=0,Config!$B$1=0),"", W264/(Config!$B$1*Config!$B$2))</x:f>
      </x:c>
      <x:c r="Z264" s="2" t="inlineStr">
        <x:is>
          <x:t xml:space="preserve"/>
        </x:is>
      </x:c>
    </x:row>
    <x:row r="265">
      <x:c r="A265" s="2" t="n"/>
      <x:c r="B265" s="3" t="n"/>
      <x:c r="C265" s="2" t="n"/>
      <x:c r="D265" s="4" t="n"/>
      <x:c r="E265" s="2" t="n"/>
      <x:c r="F265" s="5" t="n"/>
      <x:c r="G265" s="5" t="n"/>
      <x:c r="H265" s="2" t="n"/>
      <x:c r="I265" s="6" t="n"/>
      <x:c r="J265" s="6" t="n"/>
      <x:c r="K265" s="7" t="n"/>
      <x:c r="L265" s="7" t="n"/>
      <x:c r="M265" s="7" t="n"/>
      <x:c r="N265" s="7" t="n"/>
      <x:c r="O265" s="2" t="n"/>
      <x:c r="P265" s="7" t="n"/>
      <x:c r="Q265" s="7" t="n"/>
      <x:c r="R265" s="7" t="n"/>
      <x:c r="S265" s="7" t="n"/>
      <x:c r="T265" s="2" t="n"/>
      <x:c r="U265" s="7" t="n"/>
      <x:c r="V265" s="8">
        <x:f>IF(OR(U265="",O265="",K265=""),"", (U265-K265)*O265)</x:f>
      </x:c>
      <x:c r="W265" s="8">
        <x:f>IF(V265="","", V265-S265)</x:f>
      </x:c>
      <x:c r="X265" s="9">
        <x:f>IF(OR(W265="",N265=0),"", W265/N265)</x:f>
      </x:c>
      <x:c r="Y265" s="10">
        <x:f>IF(OR(W265="",Config!$B$2=0,Config!$B$1=0),"", W265/(Config!$B$1*Config!$B$2))</x:f>
      </x:c>
      <x:c r="Z265" s="2" t="inlineStr">
        <x:is>
          <x:t xml:space="preserve"/>
        </x:is>
      </x:c>
    </x:row>
    <x:row r="266">
      <x:c r="A266" s="2" t="n"/>
      <x:c r="B266" s="3" t="n"/>
      <x:c r="C266" s="2" t="n"/>
      <x:c r="D266" s="4" t="n"/>
      <x:c r="E266" s="2" t="n"/>
      <x:c r="F266" s="5" t="n"/>
      <x:c r="G266" s="5" t="n"/>
      <x:c r="H266" s="2" t="n"/>
      <x:c r="I266" s="6" t="n"/>
      <x:c r="J266" s="6" t="n"/>
      <x:c r="K266" s="7" t="n"/>
      <x:c r="L266" s="7" t="n"/>
      <x:c r="M266" s="7" t="n"/>
      <x:c r="N266" s="7" t="n"/>
      <x:c r="O266" s="2" t="n"/>
      <x:c r="P266" s="7" t="n"/>
      <x:c r="Q266" s="7" t="n"/>
      <x:c r="R266" s="7" t="n"/>
      <x:c r="S266" s="7" t="n"/>
      <x:c r="T266" s="2" t="n"/>
      <x:c r="U266" s="7" t="n"/>
      <x:c r="V266" s="8">
        <x:f>IF(OR(U266="",O266="",K266=""),"", (U266-K266)*O266)</x:f>
      </x:c>
      <x:c r="W266" s="8">
        <x:f>IF(V266="","", V266-S266)</x:f>
      </x:c>
      <x:c r="X266" s="9">
        <x:f>IF(OR(W266="",N266=0),"", W266/N266)</x:f>
      </x:c>
      <x:c r="Y266" s="10">
        <x:f>IF(OR(W266="",Config!$B$2=0,Config!$B$1=0),"", W266/(Config!$B$1*Config!$B$2))</x:f>
      </x:c>
      <x:c r="Z266" s="2" t="inlineStr">
        <x:is>
          <x:t xml:space="preserve"/>
        </x:is>
      </x:c>
    </x:row>
    <x:row r="267">
      <x:c r="A267" s="2" t="n"/>
      <x:c r="B267" s="3" t="n"/>
      <x:c r="C267" s="2" t="n"/>
      <x:c r="D267" s="4" t="n"/>
      <x:c r="E267" s="2" t="n"/>
      <x:c r="F267" s="5" t="n"/>
      <x:c r="G267" s="5" t="n"/>
      <x:c r="H267" s="2" t="n"/>
      <x:c r="I267" s="6" t="n"/>
      <x:c r="J267" s="6" t="n"/>
      <x:c r="K267" s="7" t="n"/>
      <x:c r="L267" s="7" t="n"/>
      <x:c r="M267" s="7" t="n"/>
      <x:c r="N267" s="7" t="n"/>
      <x:c r="O267" s="2" t="n"/>
      <x:c r="P267" s="7" t="n"/>
      <x:c r="Q267" s="7" t="n"/>
      <x:c r="R267" s="7" t="n"/>
      <x:c r="S267" s="7" t="n"/>
      <x:c r="T267" s="2" t="n"/>
      <x:c r="U267" s="7" t="n"/>
      <x:c r="V267" s="8">
        <x:f>IF(OR(U267="",O267="",K267=""),"", (U267-K267)*O267)</x:f>
      </x:c>
      <x:c r="W267" s="8">
        <x:f>IF(V267="","", V267-S267)</x:f>
      </x:c>
      <x:c r="X267" s="9">
        <x:f>IF(OR(W267="",N267=0),"", W267/N267)</x:f>
      </x:c>
      <x:c r="Y267" s="10">
        <x:f>IF(OR(W267="",Config!$B$2=0,Config!$B$1=0),"", W267/(Config!$B$1*Config!$B$2))</x:f>
      </x:c>
      <x:c r="Z267" s="2" t="inlineStr">
        <x:is>
          <x:t xml:space="preserve"/>
        </x:is>
      </x:c>
    </x:row>
    <x:row r="268">
      <x:c r="A268" s="2" t="n"/>
      <x:c r="B268" s="3" t="n"/>
      <x:c r="C268" s="2" t="n"/>
      <x:c r="D268" s="4" t="n"/>
      <x:c r="E268" s="2" t="n"/>
      <x:c r="F268" s="5" t="n"/>
      <x:c r="G268" s="5" t="n"/>
      <x:c r="H268" s="2" t="n"/>
      <x:c r="I268" s="6" t="n"/>
      <x:c r="J268" s="6" t="n"/>
      <x:c r="K268" s="7" t="n"/>
      <x:c r="L268" s="7" t="n"/>
      <x:c r="M268" s="7" t="n"/>
      <x:c r="N268" s="7" t="n"/>
      <x:c r="O268" s="2" t="n"/>
      <x:c r="P268" s="7" t="n"/>
      <x:c r="Q268" s="7" t="n"/>
      <x:c r="R268" s="7" t="n"/>
      <x:c r="S268" s="7" t="n"/>
      <x:c r="T268" s="2" t="n"/>
      <x:c r="U268" s="7" t="n"/>
      <x:c r="V268" s="8">
        <x:f>IF(OR(U268="",O268="",K268=""),"", (U268-K268)*O268)</x:f>
      </x:c>
      <x:c r="W268" s="8">
        <x:f>IF(V268="","", V268-S268)</x:f>
      </x:c>
      <x:c r="X268" s="9">
        <x:f>IF(OR(W268="",N268=0),"", W268/N268)</x:f>
      </x:c>
      <x:c r="Y268" s="10">
        <x:f>IF(OR(W268="",Config!$B$2=0,Config!$B$1=0),"", W268/(Config!$B$1*Config!$B$2))</x:f>
      </x:c>
      <x:c r="Z268" s="2" t="inlineStr">
        <x:is>
          <x:t xml:space="preserve"/>
        </x:is>
      </x:c>
    </x:row>
    <x:row r="269">
      <x:c r="A269" s="2" t="n"/>
      <x:c r="B269" s="3" t="n"/>
      <x:c r="C269" s="2" t="n"/>
      <x:c r="D269" s="4" t="n"/>
      <x:c r="E269" s="2" t="n"/>
      <x:c r="F269" s="5" t="n"/>
      <x:c r="G269" s="5" t="n"/>
      <x:c r="H269" s="2" t="n"/>
      <x:c r="I269" s="6" t="n"/>
      <x:c r="J269" s="6" t="n"/>
      <x:c r="K269" s="7" t="n"/>
      <x:c r="L269" s="7" t="n"/>
      <x:c r="M269" s="7" t="n"/>
      <x:c r="N269" s="7" t="n"/>
      <x:c r="O269" s="2" t="n"/>
      <x:c r="P269" s="7" t="n"/>
      <x:c r="Q269" s="7" t="n"/>
      <x:c r="R269" s="7" t="n"/>
      <x:c r="S269" s="7" t="n"/>
      <x:c r="T269" s="2" t="n"/>
      <x:c r="U269" s="7" t="n"/>
      <x:c r="V269" s="8">
        <x:f>IF(OR(U269="",O269="",K269=""),"", (U269-K269)*O269)</x:f>
      </x:c>
      <x:c r="W269" s="8">
        <x:f>IF(V269="","", V269-S269)</x:f>
      </x:c>
      <x:c r="X269" s="9">
        <x:f>IF(OR(W269="",N269=0),"", W269/N269)</x:f>
      </x:c>
      <x:c r="Y269" s="10">
        <x:f>IF(OR(W269="",Config!$B$2=0,Config!$B$1=0),"", W269/(Config!$B$1*Config!$B$2))</x:f>
      </x:c>
      <x:c r="Z269" s="2" t="inlineStr">
        <x:is>
          <x:t xml:space="preserve"/>
        </x:is>
      </x:c>
    </x:row>
    <x:row r="270">
      <x:c r="A270" s="2" t="n"/>
      <x:c r="B270" s="3" t="n"/>
      <x:c r="C270" s="2" t="n"/>
      <x:c r="D270" s="4" t="n"/>
      <x:c r="E270" s="2" t="n"/>
      <x:c r="F270" s="5" t="n"/>
      <x:c r="G270" s="5" t="n"/>
      <x:c r="H270" s="2" t="n"/>
      <x:c r="I270" s="6" t="n"/>
      <x:c r="J270" s="6" t="n"/>
      <x:c r="K270" s="7" t="n"/>
      <x:c r="L270" s="7" t="n"/>
      <x:c r="M270" s="7" t="n"/>
      <x:c r="N270" s="7" t="n"/>
      <x:c r="O270" s="2" t="n"/>
      <x:c r="P270" s="7" t="n"/>
      <x:c r="Q270" s="7" t="n"/>
      <x:c r="R270" s="7" t="n"/>
      <x:c r="S270" s="7" t="n"/>
      <x:c r="T270" s="2" t="n"/>
      <x:c r="U270" s="7" t="n"/>
      <x:c r="V270" s="8">
        <x:f>IF(OR(U270="",O270="",K270=""),"", (U270-K270)*O270)</x:f>
      </x:c>
      <x:c r="W270" s="8">
        <x:f>IF(V270="","", V270-S270)</x:f>
      </x:c>
      <x:c r="X270" s="9">
        <x:f>IF(OR(W270="",N270=0),"", W270/N270)</x:f>
      </x:c>
      <x:c r="Y270" s="10">
        <x:f>IF(OR(W270="",Config!$B$2=0,Config!$B$1=0),"", W270/(Config!$B$1*Config!$B$2))</x:f>
      </x:c>
      <x:c r="Z270" s="2" t="inlineStr">
        <x:is>
          <x:t xml:space="preserve"/>
        </x:is>
      </x:c>
    </x:row>
    <x:row r="271">
      <x:c r="A271" s="2" t="n"/>
      <x:c r="B271" s="3" t="n"/>
      <x:c r="C271" s="2" t="n"/>
      <x:c r="D271" s="4" t="n"/>
      <x:c r="E271" s="2" t="n"/>
      <x:c r="F271" s="5" t="n"/>
      <x:c r="G271" s="5" t="n"/>
      <x:c r="H271" s="2" t="n"/>
      <x:c r="I271" s="6" t="n"/>
      <x:c r="J271" s="6" t="n"/>
      <x:c r="K271" s="7" t="n"/>
      <x:c r="L271" s="7" t="n"/>
      <x:c r="M271" s="7" t="n"/>
      <x:c r="N271" s="7" t="n"/>
      <x:c r="O271" s="2" t="n"/>
      <x:c r="P271" s="7" t="n"/>
      <x:c r="Q271" s="7" t="n"/>
      <x:c r="R271" s="7" t="n"/>
      <x:c r="S271" s="7" t="n"/>
      <x:c r="T271" s="2" t="n"/>
      <x:c r="U271" s="7" t="n"/>
      <x:c r="V271" s="8">
        <x:f>IF(OR(U271="",O271="",K271=""),"", (U271-K271)*O271)</x:f>
      </x:c>
      <x:c r="W271" s="8">
        <x:f>IF(V271="","", V271-S271)</x:f>
      </x:c>
      <x:c r="X271" s="9">
        <x:f>IF(OR(W271="",N271=0),"", W271/N271)</x:f>
      </x:c>
      <x:c r="Y271" s="10">
        <x:f>IF(OR(W271="",Config!$B$2=0,Config!$B$1=0),"", W271/(Config!$B$1*Config!$B$2))</x:f>
      </x:c>
      <x:c r="Z271" s="2" t="inlineStr">
        <x:is>
          <x:t xml:space="preserve"/>
        </x:is>
      </x:c>
    </x:row>
    <x:row r="272">
      <x:c r="A272" s="2" t="n"/>
      <x:c r="B272" s="3" t="n"/>
      <x:c r="C272" s="2" t="n"/>
      <x:c r="D272" s="4" t="n"/>
      <x:c r="E272" s="2" t="n"/>
      <x:c r="F272" s="5" t="n"/>
      <x:c r="G272" s="5" t="n"/>
      <x:c r="H272" s="2" t="n"/>
      <x:c r="I272" s="6" t="n"/>
      <x:c r="J272" s="6" t="n"/>
      <x:c r="K272" s="7" t="n"/>
      <x:c r="L272" s="7" t="n"/>
      <x:c r="M272" s="7" t="n"/>
      <x:c r="N272" s="7" t="n"/>
      <x:c r="O272" s="2" t="n"/>
      <x:c r="P272" s="7" t="n"/>
      <x:c r="Q272" s="7" t="n"/>
      <x:c r="R272" s="7" t="n"/>
      <x:c r="S272" s="7" t="n"/>
      <x:c r="T272" s="2" t="n"/>
      <x:c r="U272" s="7" t="n"/>
      <x:c r="V272" s="8">
        <x:f>IF(OR(U272="",O272="",K272=""),"", (U272-K272)*O272)</x:f>
      </x:c>
      <x:c r="W272" s="8">
        <x:f>IF(V272="","", V272-S272)</x:f>
      </x:c>
      <x:c r="X272" s="9">
        <x:f>IF(OR(W272="",N272=0),"", W272/N272)</x:f>
      </x:c>
      <x:c r="Y272" s="10">
        <x:f>IF(OR(W272="",Config!$B$2=0,Config!$B$1=0),"", W272/(Config!$B$1*Config!$B$2))</x:f>
      </x:c>
      <x:c r="Z272" s="2" t="inlineStr">
        <x:is>
          <x:t xml:space="preserve"/>
        </x:is>
      </x:c>
    </x:row>
    <x:row r="273">
      <x:c r="A273" s="2" t="n"/>
      <x:c r="B273" s="3" t="n"/>
      <x:c r="C273" s="2" t="n"/>
      <x:c r="D273" s="4" t="n"/>
      <x:c r="E273" s="2" t="n"/>
      <x:c r="F273" s="5" t="n"/>
      <x:c r="G273" s="5" t="n"/>
      <x:c r="H273" s="2" t="n"/>
      <x:c r="I273" s="6" t="n"/>
      <x:c r="J273" s="6" t="n"/>
      <x:c r="K273" s="7" t="n"/>
      <x:c r="L273" s="7" t="n"/>
      <x:c r="M273" s="7" t="n"/>
      <x:c r="N273" s="7" t="n"/>
      <x:c r="O273" s="2" t="n"/>
      <x:c r="P273" s="7" t="n"/>
      <x:c r="Q273" s="7" t="n"/>
      <x:c r="R273" s="7" t="n"/>
      <x:c r="S273" s="7" t="n"/>
      <x:c r="T273" s="2" t="n"/>
      <x:c r="U273" s="7" t="n"/>
      <x:c r="V273" s="8">
        <x:f>IF(OR(U273="",O273="",K273=""),"", (U273-K273)*O273)</x:f>
      </x:c>
      <x:c r="W273" s="8">
        <x:f>IF(V273="","", V273-S273)</x:f>
      </x:c>
      <x:c r="X273" s="9">
        <x:f>IF(OR(W273="",N273=0),"", W273/N273)</x:f>
      </x:c>
      <x:c r="Y273" s="10">
        <x:f>IF(OR(W273="",Config!$B$2=0,Config!$B$1=0),"", W273/(Config!$B$1*Config!$B$2))</x:f>
      </x:c>
      <x:c r="Z273" s="2" t="inlineStr">
        <x:is>
          <x:t xml:space="preserve"/>
        </x:is>
      </x:c>
    </x:row>
    <x:row r="274">
      <x:c r="A274" s="2" t="n"/>
      <x:c r="B274" s="3" t="n"/>
      <x:c r="C274" s="2" t="n"/>
      <x:c r="D274" s="4" t="n"/>
      <x:c r="E274" s="2" t="n"/>
      <x:c r="F274" s="5" t="n"/>
      <x:c r="G274" s="5" t="n"/>
      <x:c r="H274" s="2" t="n"/>
      <x:c r="I274" s="6" t="n"/>
      <x:c r="J274" s="6" t="n"/>
      <x:c r="K274" s="7" t="n"/>
      <x:c r="L274" s="7" t="n"/>
      <x:c r="M274" s="7" t="n"/>
      <x:c r="N274" s="7" t="n"/>
      <x:c r="O274" s="2" t="n"/>
      <x:c r="P274" s="7" t="n"/>
      <x:c r="Q274" s="7" t="n"/>
      <x:c r="R274" s="7" t="n"/>
      <x:c r="S274" s="7" t="n"/>
      <x:c r="T274" s="2" t="n"/>
      <x:c r="U274" s="7" t="n"/>
      <x:c r="V274" s="8">
        <x:f>IF(OR(U274="",O274="",K274=""),"", (U274-K274)*O274)</x:f>
      </x:c>
      <x:c r="W274" s="8">
        <x:f>IF(V274="","", V274-S274)</x:f>
      </x:c>
      <x:c r="X274" s="9">
        <x:f>IF(OR(W274="",N274=0),"", W274/N274)</x:f>
      </x:c>
      <x:c r="Y274" s="10">
        <x:f>IF(OR(W274="",Config!$B$2=0,Config!$B$1=0),"", W274/(Config!$B$1*Config!$B$2))</x:f>
      </x:c>
      <x:c r="Z274" s="2" t="inlineStr">
        <x:is>
          <x:t xml:space="preserve"/>
        </x:is>
      </x:c>
    </x:row>
    <x:row r="275">
      <x:c r="A275" s="2" t="n"/>
      <x:c r="B275" s="3" t="n"/>
      <x:c r="C275" s="2" t="n"/>
      <x:c r="D275" s="4" t="n"/>
      <x:c r="E275" s="2" t="n"/>
      <x:c r="F275" s="5" t="n"/>
      <x:c r="G275" s="5" t="n"/>
      <x:c r="H275" s="2" t="n"/>
      <x:c r="I275" s="6" t="n"/>
      <x:c r="J275" s="6" t="n"/>
      <x:c r="K275" s="7" t="n"/>
      <x:c r="L275" s="7" t="n"/>
      <x:c r="M275" s="7" t="n"/>
      <x:c r="N275" s="7" t="n"/>
      <x:c r="O275" s="2" t="n"/>
      <x:c r="P275" s="7" t="n"/>
      <x:c r="Q275" s="7" t="n"/>
      <x:c r="R275" s="7" t="n"/>
      <x:c r="S275" s="7" t="n"/>
      <x:c r="T275" s="2" t="n"/>
      <x:c r="U275" s="7" t="n"/>
      <x:c r="V275" s="8">
        <x:f>IF(OR(U275="",O275="",K275=""),"", (U275-K275)*O275)</x:f>
      </x:c>
      <x:c r="W275" s="8">
        <x:f>IF(V275="","", V275-S275)</x:f>
      </x:c>
      <x:c r="X275" s="9">
        <x:f>IF(OR(W275="",N275=0),"", W275/N275)</x:f>
      </x:c>
      <x:c r="Y275" s="10">
        <x:f>IF(OR(W275="",Config!$B$2=0,Config!$B$1=0),"", W275/(Config!$B$1*Config!$B$2))</x:f>
      </x:c>
      <x:c r="Z275" s="2" t="inlineStr">
        <x:is>
          <x:t xml:space="preserve"/>
        </x:is>
      </x:c>
    </x:row>
    <x:row r="276">
      <x:c r="A276" s="2" t="n"/>
      <x:c r="B276" s="3" t="n"/>
      <x:c r="C276" s="2" t="n"/>
      <x:c r="D276" s="4" t="n"/>
      <x:c r="E276" s="2" t="n"/>
      <x:c r="F276" s="5" t="n"/>
      <x:c r="G276" s="5" t="n"/>
      <x:c r="H276" s="2" t="n"/>
      <x:c r="I276" s="6" t="n"/>
      <x:c r="J276" s="6" t="n"/>
      <x:c r="K276" s="7" t="n"/>
      <x:c r="L276" s="7" t="n"/>
      <x:c r="M276" s="7" t="n"/>
      <x:c r="N276" s="7" t="n"/>
      <x:c r="O276" s="2" t="n"/>
      <x:c r="P276" s="7" t="n"/>
      <x:c r="Q276" s="7" t="n"/>
      <x:c r="R276" s="7" t="n"/>
      <x:c r="S276" s="7" t="n"/>
      <x:c r="T276" s="2" t="n"/>
      <x:c r="U276" s="7" t="n"/>
      <x:c r="V276" s="8">
        <x:f>IF(OR(U276="",O276="",K276=""),"", (U276-K276)*O276)</x:f>
      </x:c>
      <x:c r="W276" s="8">
        <x:f>IF(V276="","", V276-S276)</x:f>
      </x:c>
      <x:c r="X276" s="9">
        <x:f>IF(OR(W276="",N276=0),"", W276/N276)</x:f>
      </x:c>
      <x:c r="Y276" s="10">
        <x:f>IF(OR(W276="",Config!$B$2=0,Config!$B$1=0),"", W276/(Config!$B$1*Config!$B$2))</x:f>
      </x:c>
      <x:c r="Z276" s="2" t="inlineStr">
        <x:is>
          <x:t xml:space="preserve"/>
        </x:is>
      </x:c>
    </x:row>
    <x:row r="277">
      <x:c r="A277" s="2" t="n"/>
      <x:c r="B277" s="3" t="n"/>
      <x:c r="C277" s="2" t="n"/>
      <x:c r="D277" s="4" t="n"/>
      <x:c r="E277" s="2" t="n"/>
      <x:c r="F277" s="5" t="n"/>
      <x:c r="G277" s="5" t="n"/>
      <x:c r="H277" s="2" t="n"/>
      <x:c r="I277" s="6" t="n"/>
      <x:c r="J277" s="6" t="n"/>
      <x:c r="K277" s="7" t="n"/>
      <x:c r="L277" s="7" t="n"/>
      <x:c r="M277" s="7" t="n"/>
      <x:c r="N277" s="7" t="n"/>
      <x:c r="O277" s="2" t="n"/>
      <x:c r="P277" s="7" t="n"/>
      <x:c r="Q277" s="7" t="n"/>
      <x:c r="R277" s="7" t="n"/>
      <x:c r="S277" s="7" t="n"/>
      <x:c r="T277" s="2" t="n"/>
      <x:c r="U277" s="7" t="n"/>
      <x:c r="V277" s="8">
        <x:f>IF(OR(U277="",O277="",K277=""),"", (U277-K277)*O277)</x:f>
      </x:c>
      <x:c r="W277" s="8">
        <x:f>IF(V277="","", V277-S277)</x:f>
      </x:c>
      <x:c r="X277" s="9">
        <x:f>IF(OR(W277="",N277=0),"", W277/N277)</x:f>
      </x:c>
      <x:c r="Y277" s="10">
        <x:f>IF(OR(W277="",Config!$B$2=0,Config!$B$1=0),"", W277/(Config!$B$1*Config!$B$2))</x:f>
      </x:c>
      <x:c r="Z277" s="2" t="inlineStr">
        <x:is>
          <x:t xml:space="preserve"/>
        </x:is>
      </x:c>
    </x:row>
    <x:row r="278">
      <x:c r="A278" s="2" t="n"/>
      <x:c r="B278" s="3" t="n"/>
      <x:c r="C278" s="2" t="n"/>
      <x:c r="D278" s="4" t="n"/>
      <x:c r="E278" s="2" t="n"/>
      <x:c r="F278" s="5" t="n"/>
      <x:c r="G278" s="5" t="n"/>
      <x:c r="H278" s="2" t="n"/>
      <x:c r="I278" s="6" t="n"/>
      <x:c r="J278" s="6" t="n"/>
      <x:c r="K278" s="7" t="n"/>
      <x:c r="L278" s="7" t="n"/>
      <x:c r="M278" s="7" t="n"/>
      <x:c r="N278" s="7" t="n"/>
      <x:c r="O278" s="2" t="n"/>
      <x:c r="P278" s="7" t="n"/>
      <x:c r="Q278" s="7" t="n"/>
      <x:c r="R278" s="7" t="n"/>
      <x:c r="S278" s="7" t="n"/>
      <x:c r="T278" s="2" t="n"/>
      <x:c r="U278" s="7" t="n"/>
      <x:c r="V278" s="8">
        <x:f>IF(OR(U278="",O278="",K278=""),"", (U278-K278)*O278)</x:f>
      </x:c>
      <x:c r="W278" s="8">
        <x:f>IF(V278="","", V278-S278)</x:f>
      </x:c>
      <x:c r="X278" s="9">
        <x:f>IF(OR(W278="",N278=0),"", W278/N278)</x:f>
      </x:c>
      <x:c r="Y278" s="10">
        <x:f>IF(OR(W278="",Config!$B$2=0,Config!$B$1=0),"", W278/(Config!$B$1*Config!$B$2))</x:f>
      </x:c>
      <x:c r="Z278" s="2" t="inlineStr">
        <x:is>
          <x:t xml:space="preserve"/>
        </x:is>
      </x:c>
    </x:row>
    <x:row r="279">
      <x:c r="A279" s="2" t="n"/>
      <x:c r="B279" s="3" t="n"/>
      <x:c r="C279" s="2" t="n"/>
      <x:c r="D279" s="4" t="n"/>
      <x:c r="E279" s="2" t="n"/>
      <x:c r="F279" s="5" t="n"/>
      <x:c r="G279" s="5" t="n"/>
      <x:c r="H279" s="2" t="n"/>
      <x:c r="I279" s="6" t="n"/>
      <x:c r="J279" s="6" t="n"/>
      <x:c r="K279" s="7" t="n"/>
      <x:c r="L279" s="7" t="n"/>
      <x:c r="M279" s="7" t="n"/>
      <x:c r="N279" s="7" t="n"/>
      <x:c r="O279" s="2" t="n"/>
      <x:c r="P279" s="7" t="n"/>
      <x:c r="Q279" s="7" t="n"/>
      <x:c r="R279" s="7" t="n"/>
      <x:c r="S279" s="7" t="n"/>
      <x:c r="T279" s="2" t="n"/>
      <x:c r="U279" s="7" t="n"/>
      <x:c r="V279" s="8">
        <x:f>IF(OR(U279="",O279="",K279=""),"", (U279-K279)*O279)</x:f>
      </x:c>
      <x:c r="W279" s="8">
        <x:f>IF(V279="","", V279-S279)</x:f>
      </x:c>
      <x:c r="X279" s="9">
        <x:f>IF(OR(W279="",N279=0),"", W279/N279)</x:f>
      </x:c>
      <x:c r="Y279" s="10">
        <x:f>IF(OR(W279="",Config!$B$2=0,Config!$B$1=0),"", W279/(Config!$B$1*Config!$B$2))</x:f>
      </x:c>
      <x:c r="Z279" s="2" t="inlineStr">
        <x:is>
          <x:t xml:space="preserve"/>
        </x:is>
      </x:c>
    </x:row>
    <x:row r="280">
      <x:c r="A280" s="2" t="n"/>
      <x:c r="B280" s="3" t="n"/>
      <x:c r="C280" s="2" t="n"/>
      <x:c r="D280" s="4" t="n"/>
      <x:c r="E280" s="2" t="n"/>
      <x:c r="F280" s="5" t="n"/>
      <x:c r="G280" s="5" t="n"/>
      <x:c r="H280" s="2" t="n"/>
      <x:c r="I280" s="6" t="n"/>
      <x:c r="J280" s="6" t="n"/>
      <x:c r="K280" s="7" t="n"/>
      <x:c r="L280" s="7" t="n"/>
      <x:c r="M280" s="7" t="n"/>
      <x:c r="N280" s="7" t="n"/>
      <x:c r="O280" s="2" t="n"/>
      <x:c r="P280" s="7" t="n"/>
      <x:c r="Q280" s="7" t="n"/>
      <x:c r="R280" s="7" t="n"/>
      <x:c r="S280" s="7" t="n"/>
      <x:c r="T280" s="2" t="n"/>
      <x:c r="U280" s="7" t="n"/>
      <x:c r="V280" s="8">
        <x:f>IF(OR(U280="",O280="",K280=""),"", (U280-K280)*O280)</x:f>
      </x:c>
      <x:c r="W280" s="8">
        <x:f>IF(V280="","", V280-S280)</x:f>
      </x:c>
      <x:c r="X280" s="9">
        <x:f>IF(OR(W280="",N280=0),"", W280/N280)</x:f>
      </x:c>
      <x:c r="Y280" s="10">
        <x:f>IF(OR(W280="",Config!$B$2=0,Config!$B$1=0),"", W280/(Config!$B$1*Config!$B$2))</x:f>
      </x:c>
      <x:c r="Z280" s="2" t="inlineStr">
        <x:is>
          <x:t xml:space="preserve"/>
        </x:is>
      </x:c>
    </x:row>
    <x:row r="281">
      <x:c r="A281" s="2" t="n"/>
      <x:c r="B281" s="3" t="n"/>
      <x:c r="C281" s="2" t="n"/>
      <x:c r="D281" s="4" t="n"/>
      <x:c r="E281" s="2" t="n"/>
      <x:c r="F281" s="5" t="n"/>
      <x:c r="G281" s="5" t="n"/>
      <x:c r="H281" s="2" t="n"/>
      <x:c r="I281" s="6" t="n"/>
      <x:c r="J281" s="6" t="n"/>
      <x:c r="K281" s="7" t="n"/>
      <x:c r="L281" s="7" t="n"/>
      <x:c r="M281" s="7" t="n"/>
      <x:c r="N281" s="7" t="n"/>
      <x:c r="O281" s="2" t="n"/>
      <x:c r="P281" s="7" t="n"/>
      <x:c r="Q281" s="7" t="n"/>
      <x:c r="R281" s="7" t="n"/>
      <x:c r="S281" s="7" t="n"/>
      <x:c r="T281" s="2" t="n"/>
      <x:c r="U281" s="7" t="n"/>
      <x:c r="V281" s="8">
        <x:f>IF(OR(U281="",O281="",K281=""),"", (U281-K281)*O281)</x:f>
      </x:c>
      <x:c r="W281" s="8">
        <x:f>IF(V281="","", V281-S281)</x:f>
      </x:c>
      <x:c r="X281" s="9">
        <x:f>IF(OR(W281="",N281=0),"", W281/N281)</x:f>
      </x:c>
      <x:c r="Y281" s="10">
        <x:f>IF(OR(W281="",Config!$B$2=0,Config!$B$1=0),"", W281/(Config!$B$1*Config!$B$2))</x:f>
      </x:c>
      <x:c r="Z281" s="2" t="inlineStr">
        <x:is>
          <x:t xml:space="preserve"/>
        </x:is>
      </x:c>
    </x:row>
    <x:row r="282">
      <x:c r="A282" s="2" t="n"/>
      <x:c r="B282" s="3" t="n"/>
      <x:c r="C282" s="2" t="n"/>
      <x:c r="D282" s="4" t="n"/>
      <x:c r="E282" s="2" t="n"/>
      <x:c r="F282" s="5" t="n"/>
      <x:c r="G282" s="5" t="n"/>
      <x:c r="H282" s="2" t="n"/>
      <x:c r="I282" s="6" t="n"/>
      <x:c r="J282" s="6" t="n"/>
      <x:c r="K282" s="7" t="n"/>
      <x:c r="L282" s="7" t="n"/>
      <x:c r="M282" s="7" t="n"/>
      <x:c r="N282" s="7" t="n"/>
      <x:c r="O282" s="2" t="n"/>
      <x:c r="P282" s="7" t="n"/>
      <x:c r="Q282" s="7" t="n"/>
      <x:c r="R282" s="7" t="n"/>
      <x:c r="S282" s="7" t="n"/>
      <x:c r="T282" s="2" t="n"/>
      <x:c r="U282" s="7" t="n"/>
      <x:c r="V282" s="8">
        <x:f>IF(OR(U282="",O282="",K282=""),"", (U282-K282)*O282)</x:f>
      </x:c>
      <x:c r="W282" s="8">
        <x:f>IF(V282="","", V282-S282)</x:f>
      </x:c>
      <x:c r="X282" s="9">
        <x:f>IF(OR(W282="",N282=0),"", W282/N282)</x:f>
      </x:c>
      <x:c r="Y282" s="10">
        <x:f>IF(OR(W282="",Config!$B$2=0,Config!$B$1=0),"", W282/(Config!$B$1*Config!$B$2))</x:f>
      </x:c>
      <x:c r="Z282" s="2" t="inlineStr">
        <x:is>
          <x:t xml:space="preserve"/>
        </x:is>
      </x:c>
    </x:row>
    <x:row r="283">
      <x:c r="A283" s="2" t="n"/>
      <x:c r="B283" s="3" t="n"/>
      <x:c r="C283" s="2" t="n"/>
      <x:c r="D283" s="4" t="n"/>
      <x:c r="E283" s="2" t="n"/>
      <x:c r="F283" s="5" t="n"/>
      <x:c r="G283" s="5" t="n"/>
      <x:c r="H283" s="2" t="n"/>
      <x:c r="I283" s="6" t="n"/>
      <x:c r="J283" s="6" t="n"/>
      <x:c r="K283" s="7" t="n"/>
      <x:c r="L283" s="7" t="n"/>
      <x:c r="M283" s="7" t="n"/>
      <x:c r="N283" s="7" t="n"/>
      <x:c r="O283" s="2" t="n"/>
      <x:c r="P283" s="7" t="n"/>
      <x:c r="Q283" s="7" t="n"/>
      <x:c r="R283" s="7" t="n"/>
      <x:c r="S283" s="7" t="n"/>
      <x:c r="T283" s="2" t="n"/>
      <x:c r="U283" s="7" t="n"/>
      <x:c r="V283" s="8">
        <x:f>IF(OR(U283="",O283="",K283=""),"", (U283-K283)*O283)</x:f>
      </x:c>
      <x:c r="W283" s="8">
        <x:f>IF(V283="","", V283-S283)</x:f>
      </x:c>
      <x:c r="X283" s="9">
        <x:f>IF(OR(W283="",N283=0),"", W283/N283)</x:f>
      </x:c>
      <x:c r="Y283" s="10">
        <x:f>IF(OR(W283="",Config!$B$2=0,Config!$B$1=0),"", W283/(Config!$B$1*Config!$B$2))</x:f>
      </x:c>
      <x:c r="Z283" s="2" t="inlineStr">
        <x:is>
          <x:t xml:space="preserve"/>
        </x:is>
      </x:c>
    </x:row>
    <x:row r="284">
      <x:c r="A284" s="2" t="n"/>
      <x:c r="B284" s="3" t="n"/>
      <x:c r="C284" s="2" t="n"/>
      <x:c r="D284" s="4" t="n"/>
      <x:c r="E284" s="2" t="n"/>
      <x:c r="F284" s="5" t="n"/>
      <x:c r="G284" s="5" t="n"/>
      <x:c r="H284" s="2" t="n"/>
      <x:c r="I284" s="6" t="n"/>
      <x:c r="J284" s="6" t="n"/>
      <x:c r="K284" s="7" t="n"/>
      <x:c r="L284" s="7" t="n"/>
      <x:c r="M284" s="7" t="n"/>
      <x:c r="N284" s="7" t="n"/>
      <x:c r="O284" s="2" t="n"/>
      <x:c r="P284" s="7" t="n"/>
      <x:c r="Q284" s="7" t="n"/>
      <x:c r="R284" s="7" t="n"/>
      <x:c r="S284" s="7" t="n"/>
      <x:c r="T284" s="2" t="n"/>
      <x:c r="U284" s="7" t="n"/>
      <x:c r="V284" s="8">
        <x:f>IF(OR(U284="",O284="",K284=""),"", (U284-K284)*O284)</x:f>
      </x:c>
      <x:c r="W284" s="8">
        <x:f>IF(V284="","", V284-S284)</x:f>
      </x:c>
      <x:c r="X284" s="9">
        <x:f>IF(OR(W284="",N284=0),"", W284/N284)</x:f>
      </x:c>
      <x:c r="Y284" s="10">
        <x:f>IF(OR(W284="",Config!$B$2=0,Config!$B$1=0),"", W284/(Config!$B$1*Config!$B$2))</x:f>
      </x:c>
      <x:c r="Z284" s="2" t="inlineStr">
        <x:is>
          <x:t xml:space="preserve"/>
        </x:is>
      </x:c>
    </x:row>
    <x:row r="285">
      <x:c r="A285" s="2" t="n"/>
      <x:c r="B285" s="3" t="n"/>
      <x:c r="C285" s="2" t="n"/>
      <x:c r="D285" s="4" t="n"/>
      <x:c r="E285" s="2" t="n"/>
      <x:c r="F285" s="5" t="n"/>
      <x:c r="G285" s="5" t="n"/>
      <x:c r="H285" s="2" t="n"/>
      <x:c r="I285" s="6" t="n"/>
      <x:c r="J285" s="6" t="n"/>
      <x:c r="K285" s="7" t="n"/>
      <x:c r="L285" s="7" t="n"/>
      <x:c r="M285" s="7" t="n"/>
      <x:c r="N285" s="7" t="n"/>
      <x:c r="O285" s="2" t="n"/>
      <x:c r="P285" s="7" t="n"/>
      <x:c r="Q285" s="7" t="n"/>
      <x:c r="R285" s="7" t="n"/>
      <x:c r="S285" s="7" t="n"/>
      <x:c r="T285" s="2" t="n"/>
      <x:c r="U285" s="7" t="n"/>
      <x:c r="V285" s="8">
        <x:f>IF(OR(U285="",O285="",K285=""),"", (U285-K285)*O285)</x:f>
      </x:c>
      <x:c r="W285" s="8">
        <x:f>IF(V285="","", V285-S285)</x:f>
      </x:c>
      <x:c r="X285" s="9">
        <x:f>IF(OR(W285="",N285=0),"", W285/N285)</x:f>
      </x:c>
      <x:c r="Y285" s="10">
        <x:f>IF(OR(W285="",Config!$B$2=0,Config!$B$1=0),"", W285/(Config!$B$1*Config!$B$2))</x:f>
      </x:c>
      <x:c r="Z285" s="2" t="inlineStr">
        <x:is>
          <x:t xml:space="preserve"/>
        </x:is>
      </x:c>
    </x:row>
    <x:row r="286">
      <x:c r="A286" s="2" t="n"/>
      <x:c r="B286" s="3" t="n"/>
      <x:c r="C286" s="2" t="n"/>
      <x:c r="D286" s="4" t="n"/>
      <x:c r="E286" s="2" t="n"/>
      <x:c r="F286" s="5" t="n"/>
      <x:c r="G286" s="5" t="n"/>
      <x:c r="H286" s="2" t="n"/>
      <x:c r="I286" s="6" t="n"/>
      <x:c r="J286" s="6" t="n"/>
      <x:c r="K286" s="7" t="n"/>
      <x:c r="L286" s="7" t="n"/>
      <x:c r="M286" s="7" t="n"/>
      <x:c r="N286" s="7" t="n"/>
      <x:c r="O286" s="2" t="n"/>
      <x:c r="P286" s="7" t="n"/>
      <x:c r="Q286" s="7" t="n"/>
      <x:c r="R286" s="7" t="n"/>
      <x:c r="S286" s="7" t="n"/>
      <x:c r="T286" s="2" t="n"/>
      <x:c r="U286" s="7" t="n"/>
      <x:c r="V286" s="8">
        <x:f>IF(OR(U286="",O286="",K286=""),"", (U286-K286)*O286)</x:f>
      </x:c>
      <x:c r="W286" s="8">
        <x:f>IF(V286="","", V286-S286)</x:f>
      </x:c>
      <x:c r="X286" s="9">
        <x:f>IF(OR(W286="",N286=0),"", W286/N286)</x:f>
      </x:c>
      <x:c r="Y286" s="10">
        <x:f>IF(OR(W286="",Config!$B$2=0,Config!$B$1=0),"", W286/(Config!$B$1*Config!$B$2))</x:f>
      </x:c>
      <x:c r="Z286" s="2" t="inlineStr">
        <x:is>
          <x:t xml:space="preserve"/>
        </x:is>
      </x:c>
    </x:row>
    <x:row r="287">
      <x:c r="A287" s="2" t="n"/>
      <x:c r="B287" s="3" t="n"/>
      <x:c r="C287" s="2" t="n"/>
      <x:c r="D287" s="4" t="n"/>
      <x:c r="E287" s="2" t="n"/>
      <x:c r="F287" s="5" t="n"/>
      <x:c r="G287" s="5" t="n"/>
      <x:c r="H287" s="2" t="n"/>
      <x:c r="I287" s="6" t="n"/>
      <x:c r="J287" s="6" t="n"/>
      <x:c r="K287" s="7" t="n"/>
      <x:c r="L287" s="7" t="n"/>
      <x:c r="M287" s="7" t="n"/>
      <x:c r="N287" s="7" t="n"/>
      <x:c r="O287" s="2" t="n"/>
      <x:c r="P287" s="7" t="n"/>
      <x:c r="Q287" s="7" t="n"/>
      <x:c r="R287" s="7" t="n"/>
      <x:c r="S287" s="7" t="n"/>
      <x:c r="T287" s="2" t="n"/>
      <x:c r="U287" s="7" t="n"/>
      <x:c r="V287" s="8">
        <x:f>IF(OR(U287="",O287="",K287=""),"", (U287-K287)*O287)</x:f>
      </x:c>
      <x:c r="W287" s="8">
        <x:f>IF(V287="","", V287-S287)</x:f>
      </x:c>
      <x:c r="X287" s="9">
        <x:f>IF(OR(W287="",N287=0),"", W287/N287)</x:f>
      </x:c>
      <x:c r="Y287" s="10">
        <x:f>IF(OR(W287="",Config!$B$2=0,Config!$B$1=0),"", W287/(Config!$B$1*Config!$B$2))</x:f>
      </x:c>
      <x:c r="Z287" s="2" t="inlineStr">
        <x:is>
          <x:t xml:space="preserve"/>
        </x:is>
      </x:c>
    </x:row>
    <x:row r="288">
      <x:c r="A288" s="2" t="n"/>
      <x:c r="B288" s="3" t="n"/>
      <x:c r="C288" s="2" t="n"/>
      <x:c r="D288" s="4" t="n"/>
      <x:c r="E288" s="2" t="n"/>
      <x:c r="F288" s="5" t="n"/>
      <x:c r="G288" s="5" t="n"/>
      <x:c r="H288" s="2" t="n"/>
      <x:c r="I288" s="6" t="n"/>
      <x:c r="J288" s="6" t="n"/>
      <x:c r="K288" s="7" t="n"/>
      <x:c r="L288" s="7" t="n"/>
      <x:c r="M288" s="7" t="n"/>
      <x:c r="N288" s="7" t="n"/>
      <x:c r="O288" s="2" t="n"/>
      <x:c r="P288" s="7" t="n"/>
      <x:c r="Q288" s="7" t="n"/>
      <x:c r="R288" s="7" t="n"/>
      <x:c r="S288" s="7" t="n"/>
      <x:c r="T288" s="2" t="n"/>
      <x:c r="U288" s="7" t="n"/>
      <x:c r="V288" s="8">
        <x:f>IF(OR(U288="",O288="",K288=""),"", (U288-K288)*O288)</x:f>
      </x:c>
      <x:c r="W288" s="8">
        <x:f>IF(V288="","", V288-S288)</x:f>
      </x:c>
      <x:c r="X288" s="9">
        <x:f>IF(OR(W288="",N288=0),"", W288/N288)</x:f>
      </x:c>
      <x:c r="Y288" s="10">
        <x:f>IF(OR(W288="",Config!$B$2=0,Config!$B$1=0),"", W288/(Config!$B$1*Config!$B$2))</x:f>
      </x:c>
      <x:c r="Z288" s="2" t="inlineStr">
        <x:is>
          <x:t xml:space="preserve"/>
        </x:is>
      </x:c>
    </x:row>
    <x:row r="289">
      <x:c r="A289" s="2" t="n"/>
      <x:c r="B289" s="3" t="n"/>
      <x:c r="C289" s="2" t="n"/>
      <x:c r="D289" s="4" t="n"/>
      <x:c r="E289" s="2" t="n"/>
      <x:c r="F289" s="5" t="n"/>
      <x:c r="G289" s="5" t="n"/>
      <x:c r="H289" s="2" t="n"/>
      <x:c r="I289" s="6" t="n"/>
      <x:c r="J289" s="6" t="n"/>
      <x:c r="K289" s="7" t="n"/>
      <x:c r="L289" s="7" t="n"/>
      <x:c r="M289" s="7" t="n"/>
      <x:c r="N289" s="7" t="n"/>
      <x:c r="O289" s="2" t="n"/>
      <x:c r="P289" s="7" t="n"/>
      <x:c r="Q289" s="7" t="n"/>
      <x:c r="R289" s="7" t="n"/>
      <x:c r="S289" s="7" t="n"/>
      <x:c r="T289" s="2" t="n"/>
      <x:c r="U289" s="7" t="n"/>
      <x:c r="V289" s="8">
        <x:f>IF(OR(U289="",O289="",K289=""),"", (U289-K289)*O289)</x:f>
      </x:c>
      <x:c r="W289" s="8">
        <x:f>IF(V289="","", V289-S289)</x:f>
      </x:c>
      <x:c r="X289" s="9">
        <x:f>IF(OR(W289="",N289=0),"", W289/N289)</x:f>
      </x:c>
      <x:c r="Y289" s="10">
        <x:f>IF(OR(W289="",Config!$B$2=0,Config!$B$1=0),"", W289/(Config!$B$1*Config!$B$2))</x:f>
      </x:c>
      <x:c r="Z289" s="2" t="inlineStr">
        <x:is>
          <x:t xml:space="preserve"/>
        </x:is>
      </x:c>
    </x:row>
    <x:row r="290">
      <x:c r="A290" s="2" t="n"/>
      <x:c r="B290" s="3" t="n"/>
      <x:c r="C290" s="2" t="n"/>
      <x:c r="D290" s="4" t="n"/>
      <x:c r="E290" s="2" t="n"/>
      <x:c r="F290" s="5" t="n"/>
      <x:c r="G290" s="5" t="n"/>
      <x:c r="H290" s="2" t="n"/>
      <x:c r="I290" s="6" t="n"/>
      <x:c r="J290" s="6" t="n"/>
      <x:c r="K290" s="7" t="n"/>
      <x:c r="L290" s="7" t="n"/>
      <x:c r="M290" s="7" t="n"/>
      <x:c r="N290" s="7" t="n"/>
      <x:c r="O290" s="2" t="n"/>
      <x:c r="P290" s="7" t="n"/>
      <x:c r="Q290" s="7" t="n"/>
      <x:c r="R290" s="7" t="n"/>
      <x:c r="S290" s="7" t="n"/>
      <x:c r="T290" s="2" t="n"/>
      <x:c r="U290" s="7" t="n"/>
      <x:c r="V290" s="8">
        <x:f>IF(OR(U290="",O290="",K290=""),"", (U290-K290)*O290)</x:f>
      </x:c>
      <x:c r="W290" s="8">
        <x:f>IF(V290="","", V290-S290)</x:f>
      </x:c>
      <x:c r="X290" s="9">
        <x:f>IF(OR(W290="",N290=0),"", W290/N290)</x:f>
      </x:c>
      <x:c r="Y290" s="10">
        <x:f>IF(OR(W290="",Config!$B$2=0,Config!$B$1=0),"", W290/(Config!$B$1*Config!$B$2))</x:f>
      </x:c>
      <x:c r="Z290" s="2" t="inlineStr">
        <x:is>
          <x:t xml:space="preserve"/>
        </x:is>
      </x:c>
    </x:row>
    <x:row r="291">
      <x:c r="A291" s="2" t="n"/>
      <x:c r="B291" s="3" t="n"/>
      <x:c r="C291" s="2" t="n"/>
      <x:c r="D291" s="4" t="n"/>
      <x:c r="E291" s="2" t="n"/>
      <x:c r="F291" s="5" t="n"/>
      <x:c r="G291" s="5" t="n"/>
      <x:c r="H291" s="2" t="n"/>
      <x:c r="I291" s="6" t="n"/>
      <x:c r="J291" s="6" t="n"/>
      <x:c r="K291" s="7" t="n"/>
      <x:c r="L291" s="7" t="n"/>
      <x:c r="M291" s="7" t="n"/>
      <x:c r="N291" s="7" t="n"/>
      <x:c r="O291" s="2" t="n"/>
      <x:c r="P291" s="7" t="n"/>
      <x:c r="Q291" s="7" t="n"/>
      <x:c r="R291" s="7" t="n"/>
      <x:c r="S291" s="7" t="n"/>
      <x:c r="T291" s="2" t="n"/>
      <x:c r="U291" s="7" t="n"/>
      <x:c r="V291" s="8">
        <x:f>IF(OR(U291="",O291="",K291=""),"", (U291-K291)*O291)</x:f>
      </x:c>
      <x:c r="W291" s="8">
        <x:f>IF(V291="","", V291-S291)</x:f>
      </x:c>
      <x:c r="X291" s="9">
        <x:f>IF(OR(W291="",N291=0),"", W291/N291)</x:f>
      </x:c>
      <x:c r="Y291" s="10">
        <x:f>IF(OR(W291="",Config!$B$2=0,Config!$B$1=0),"", W291/(Config!$B$1*Config!$B$2))</x:f>
      </x:c>
      <x:c r="Z291" s="2" t="inlineStr">
        <x:is>
          <x:t xml:space="preserve"/>
        </x:is>
      </x:c>
    </x:row>
    <x:row r="292">
      <x:c r="A292" s="2" t="n"/>
      <x:c r="B292" s="3" t="n"/>
      <x:c r="C292" s="2" t="n"/>
      <x:c r="D292" s="4" t="n"/>
      <x:c r="E292" s="2" t="n"/>
      <x:c r="F292" s="5" t="n"/>
      <x:c r="G292" s="5" t="n"/>
      <x:c r="H292" s="2" t="n"/>
      <x:c r="I292" s="6" t="n"/>
      <x:c r="J292" s="6" t="n"/>
      <x:c r="K292" s="7" t="n"/>
      <x:c r="L292" s="7" t="n"/>
      <x:c r="M292" s="7" t="n"/>
      <x:c r="N292" s="7" t="n"/>
      <x:c r="O292" s="2" t="n"/>
      <x:c r="P292" s="7" t="n"/>
      <x:c r="Q292" s="7" t="n"/>
      <x:c r="R292" s="7" t="n"/>
      <x:c r="S292" s="7" t="n"/>
      <x:c r="T292" s="2" t="n"/>
      <x:c r="U292" s="7" t="n"/>
      <x:c r="V292" s="8">
        <x:f>IF(OR(U292="",O292="",K292=""),"", (U292-K292)*O292)</x:f>
      </x:c>
      <x:c r="W292" s="8">
        <x:f>IF(V292="","", V292-S292)</x:f>
      </x:c>
      <x:c r="X292" s="9">
        <x:f>IF(OR(W292="",N292=0),"", W292/N292)</x:f>
      </x:c>
      <x:c r="Y292" s="10">
        <x:f>IF(OR(W292="",Config!$B$2=0,Config!$B$1=0),"", W292/(Config!$B$1*Config!$B$2))</x:f>
      </x:c>
      <x:c r="Z292" s="2" t="inlineStr">
        <x:is>
          <x:t xml:space="preserve"/>
        </x:is>
      </x:c>
    </x:row>
    <x:row r="293">
      <x:c r="A293" s="2" t="n"/>
      <x:c r="B293" s="3" t="n"/>
      <x:c r="C293" s="2" t="n"/>
      <x:c r="D293" s="4" t="n"/>
      <x:c r="E293" s="2" t="n"/>
      <x:c r="F293" s="5" t="n"/>
      <x:c r="G293" s="5" t="n"/>
      <x:c r="H293" s="2" t="n"/>
      <x:c r="I293" s="6" t="n"/>
      <x:c r="J293" s="6" t="n"/>
      <x:c r="K293" s="7" t="n"/>
      <x:c r="L293" s="7" t="n"/>
      <x:c r="M293" s="7" t="n"/>
      <x:c r="N293" s="7" t="n"/>
      <x:c r="O293" s="2" t="n"/>
      <x:c r="P293" s="7" t="n"/>
      <x:c r="Q293" s="7" t="n"/>
      <x:c r="R293" s="7" t="n"/>
      <x:c r="S293" s="7" t="n"/>
      <x:c r="T293" s="2" t="n"/>
      <x:c r="U293" s="7" t="n"/>
      <x:c r="V293" s="8">
        <x:f>IF(OR(U293="",O293="",K293=""),"", (U293-K293)*O293)</x:f>
      </x:c>
      <x:c r="W293" s="8">
        <x:f>IF(V293="","", V293-S293)</x:f>
      </x:c>
      <x:c r="X293" s="9">
        <x:f>IF(OR(W293="",N293=0),"", W293/N293)</x:f>
      </x:c>
      <x:c r="Y293" s="10">
        <x:f>IF(OR(W293="",Config!$B$2=0,Config!$B$1=0),"", W293/(Config!$B$1*Config!$B$2))</x:f>
      </x:c>
      <x:c r="Z293" s="2" t="inlineStr">
        <x:is>
          <x:t xml:space="preserve"/>
        </x:is>
      </x:c>
    </x:row>
    <x:row r="294">
      <x:c r="A294" s="2" t="n"/>
      <x:c r="B294" s="3" t="n"/>
      <x:c r="C294" s="2" t="n"/>
      <x:c r="D294" s="4" t="n"/>
      <x:c r="E294" s="2" t="n"/>
      <x:c r="F294" s="5" t="n"/>
      <x:c r="G294" s="5" t="n"/>
      <x:c r="H294" s="2" t="n"/>
      <x:c r="I294" s="6" t="n"/>
      <x:c r="J294" s="6" t="n"/>
      <x:c r="K294" s="7" t="n"/>
      <x:c r="L294" s="7" t="n"/>
      <x:c r="M294" s="7" t="n"/>
      <x:c r="N294" s="7" t="n"/>
      <x:c r="O294" s="2" t="n"/>
      <x:c r="P294" s="7" t="n"/>
      <x:c r="Q294" s="7" t="n"/>
      <x:c r="R294" s="7" t="n"/>
      <x:c r="S294" s="7" t="n"/>
      <x:c r="T294" s="2" t="n"/>
      <x:c r="U294" s="7" t="n"/>
      <x:c r="V294" s="8">
        <x:f>IF(OR(U294="",O294="",K294=""),"", (U294-K294)*O294)</x:f>
      </x:c>
      <x:c r="W294" s="8">
        <x:f>IF(V294="","", V294-S294)</x:f>
      </x:c>
      <x:c r="X294" s="9">
        <x:f>IF(OR(W294="",N294=0),"", W294/N294)</x:f>
      </x:c>
      <x:c r="Y294" s="10">
        <x:f>IF(OR(W294="",Config!$B$2=0,Config!$B$1=0),"", W294/(Config!$B$1*Config!$B$2))</x:f>
      </x:c>
      <x:c r="Z294" s="2" t="inlineStr">
        <x:is>
          <x:t xml:space="preserve"/>
        </x:is>
      </x:c>
    </x:row>
    <x:row r="295">
      <x:c r="A295" s="2" t="n"/>
      <x:c r="B295" s="3" t="n"/>
      <x:c r="C295" s="2" t="n"/>
      <x:c r="D295" s="4" t="n"/>
      <x:c r="E295" s="2" t="n"/>
      <x:c r="F295" s="5" t="n"/>
      <x:c r="G295" s="5" t="n"/>
      <x:c r="H295" s="2" t="n"/>
      <x:c r="I295" s="6" t="n"/>
      <x:c r="J295" s="6" t="n"/>
      <x:c r="K295" s="7" t="n"/>
      <x:c r="L295" s="7" t="n"/>
      <x:c r="M295" s="7" t="n"/>
      <x:c r="N295" s="7" t="n"/>
      <x:c r="O295" s="2" t="n"/>
      <x:c r="P295" s="7" t="n"/>
      <x:c r="Q295" s="7" t="n"/>
      <x:c r="R295" s="7" t="n"/>
      <x:c r="S295" s="7" t="n"/>
      <x:c r="T295" s="2" t="n"/>
      <x:c r="U295" s="7" t="n"/>
      <x:c r="V295" s="8">
        <x:f>IF(OR(U295="",O295="",K295=""),"", (U295-K295)*O295)</x:f>
      </x:c>
      <x:c r="W295" s="8">
        <x:f>IF(V295="","", V295-S295)</x:f>
      </x:c>
      <x:c r="X295" s="9">
        <x:f>IF(OR(W295="",N295=0),"", W295/N295)</x:f>
      </x:c>
      <x:c r="Y295" s="10">
        <x:f>IF(OR(W295="",Config!$B$2=0,Config!$B$1=0),"", W295/(Config!$B$1*Config!$B$2))</x:f>
      </x:c>
      <x:c r="Z295" s="2" t="inlineStr">
        <x:is>
          <x:t xml:space="preserve"/>
        </x:is>
      </x:c>
    </x:row>
    <x:row r="296">
      <x:c r="A296" s="2" t="n"/>
      <x:c r="B296" s="3" t="n"/>
      <x:c r="C296" s="2" t="n"/>
      <x:c r="D296" s="4" t="n"/>
      <x:c r="E296" s="2" t="n"/>
      <x:c r="F296" s="5" t="n"/>
      <x:c r="G296" s="5" t="n"/>
      <x:c r="H296" s="2" t="n"/>
      <x:c r="I296" s="6" t="n"/>
      <x:c r="J296" s="6" t="n"/>
      <x:c r="K296" s="7" t="n"/>
      <x:c r="L296" s="7" t="n"/>
      <x:c r="M296" s="7" t="n"/>
      <x:c r="N296" s="7" t="n"/>
      <x:c r="O296" s="2" t="n"/>
      <x:c r="P296" s="7" t="n"/>
      <x:c r="Q296" s="7" t="n"/>
      <x:c r="R296" s="7" t="n"/>
      <x:c r="S296" s="7" t="n"/>
      <x:c r="T296" s="2" t="n"/>
      <x:c r="U296" s="7" t="n"/>
      <x:c r="V296" s="8">
        <x:f>IF(OR(U296="",O296="",K296=""),"", (U296-K296)*O296)</x:f>
      </x:c>
      <x:c r="W296" s="8">
        <x:f>IF(V296="","", V296-S296)</x:f>
      </x:c>
      <x:c r="X296" s="9">
        <x:f>IF(OR(W296="",N296=0),"", W296/N296)</x:f>
      </x:c>
      <x:c r="Y296" s="10">
        <x:f>IF(OR(W296="",Config!$B$2=0,Config!$B$1=0),"", W296/(Config!$B$1*Config!$B$2))</x:f>
      </x:c>
      <x:c r="Z296" s="2" t="inlineStr">
        <x:is>
          <x:t xml:space="preserve"/>
        </x:is>
      </x:c>
    </x:row>
    <x:row r="297">
      <x:c r="A297" s="2" t="n"/>
      <x:c r="B297" s="3" t="n"/>
      <x:c r="C297" s="2" t="n"/>
      <x:c r="D297" s="4" t="n"/>
      <x:c r="E297" s="2" t="n"/>
      <x:c r="F297" s="5" t="n"/>
      <x:c r="G297" s="5" t="n"/>
      <x:c r="H297" s="2" t="n"/>
      <x:c r="I297" s="6" t="n"/>
      <x:c r="J297" s="6" t="n"/>
      <x:c r="K297" s="7" t="n"/>
      <x:c r="L297" s="7" t="n"/>
      <x:c r="M297" s="7" t="n"/>
      <x:c r="N297" s="7" t="n"/>
      <x:c r="O297" s="2" t="n"/>
      <x:c r="P297" s="7" t="n"/>
      <x:c r="Q297" s="7" t="n"/>
      <x:c r="R297" s="7" t="n"/>
      <x:c r="S297" s="7" t="n"/>
      <x:c r="T297" s="2" t="n"/>
      <x:c r="U297" s="7" t="n"/>
      <x:c r="V297" s="8">
        <x:f>IF(OR(U297="",O297="",K297=""),"", (U297-K297)*O297)</x:f>
      </x:c>
      <x:c r="W297" s="8">
        <x:f>IF(V297="","", V297-S297)</x:f>
      </x:c>
      <x:c r="X297" s="9">
        <x:f>IF(OR(W297="",N297=0),"", W297/N297)</x:f>
      </x:c>
      <x:c r="Y297" s="10">
        <x:f>IF(OR(W297="",Config!$B$2=0,Config!$B$1=0),"", W297/(Config!$B$1*Config!$B$2))</x:f>
      </x:c>
      <x:c r="Z297" s="2" t="inlineStr">
        <x:is>
          <x:t xml:space="preserve"/>
        </x:is>
      </x:c>
    </x:row>
    <x:row r="298">
      <x:c r="A298" s="2" t="n"/>
      <x:c r="B298" s="3" t="n"/>
      <x:c r="C298" s="2" t="n"/>
      <x:c r="D298" s="4" t="n"/>
      <x:c r="E298" s="2" t="n"/>
      <x:c r="F298" s="5" t="n"/>
      <x:c r="G298" s="5" t="n"/>
      <x:c r="H298" s="2" t="n"/>
      <x:c r="I298" s="6" t="n"/>
      <x:c r="J298" s="6" t="n"/>
      <x:c r="K298" s="7" t="n"/>
      <x:c r="L298" s="7" t="n"/>
      <x:c r="M298" s="7" t="n"/>
      <x:c r="N298" s="7" t="n"/>
      <x:c r="O298" s="2" t="n"/>
      <x:c r="P298" s="7" t="n"/>
      <x:c r="Q298" s="7" t="n"/>
      <x:c r="R298" s="7" t="n"/>
      <x:c r="S298" s="7" t="n"/>
      <x:c r="T298" s="2" t="n"/>
      <x:c r="U298" s="7" t="n"/>
      <x:c r="V298" s="8">
        <x:f>IF(OR(U298="",O298="",K298=""),"", (U298-K298)*O298)</x:f>
      </x:c>
      <x:c r="W298" s="8">
        <x:f>IF(V298="","", V298-S298)</x:f>
      </x:c>
      <x:c r="X298" s="9">
        <x:f>IF(OR(W298="",N298=0),"", W298/N298)</x:f>
      </x:c>
      <x:c r="Y298" s="10">
        <x:f>IF(OR(W298="",Config!$B$2=0,Config!$B$1=0),"", W298/(Config!$B$1*Config!$B$2))</x:f>
      </x:c>
      <x:c r="Z298" s="2" t="inlineStr">
        <x:is>
          <x:t xml:space="preserve"/>
        </x:is>
      </x:c>
    </x:row>
    <x:row r="299">
      <x:c r="A299" s="2" t="n"/>
      <x:c r="B299" s="3" t="n"/>
      <x:c r="C299" s="2" t="n"/>
      <x:c r="D299" s="4" t="n"/>
      <x:c r="E299" s="2" t="n"/>
      <x:c r="F299" s="5" t="n"/>
      <x:c r="G299" s="5" t="n"/>
      <x:c r="H299" s="2" t="n"/>
      <x:c r="I299" s="6" t="n"/>
      <x:c r="J299" s="6" t="n"/>
      <x:c r="K299" s="7" t="n"/>
      <x:c r="L299" s="7" t="n"/>
      <x:c r="M299" s="7" t="n"/>
      <x:c r="N299" s="7" t="n"/>
      <x:c r="O299" s="2" t="n"/>
      <x:c r="P299" s="7" t="n"/>
      <x:c r="Q299" s="7" t="n"/>
      <x:c r="R299" s="7" t="n"/>
      <x:c r="S299" s="7" t="n"/>
      <x:c r="T299" s="2" t="n"/>
      <x:c r="U299" s="7" t="n"/>
      <x:c r="V299" s="8">
        <x:f>IF(OR(U299="",O299="",K299=""),"", (U299-K299)*O299)</x:f>
      </x:c>
      <x:c r="W299" s="8">
        <x:f>IF(V299="","", V299-S299)</x:f>
      </x:c>
      <x:c r="X299" s="9">
        <x:f>IF(OR(W299="",N299=0),"", W299/N299)</x:f>
      </x:c>
      <x:c r="Y299" s="10">
        <x:f>IF(OR(W299="",Config!$B$2=0,Config!$B$1=0),"", W299/(Config!$B$1*Config!$B$2))</x:f>
      </x:c>
      <x:c r="Z299" s="2" t="inlineStr">
        <x:is>
          <x:t xml:space="preserve"/>
        </x:is>
      </x:c>
    </x:row>
    <x:row r="300">
      <x:c r="A300" s="2" t="n"/>
      <x:c r="B300" s="3" t="n"/>
      <x:c r="C300" s="2" t="n"/>
      <x:c r="D300" s="4" t="n"/>
      <x:c r="E300" s="2" t="n"/>
      <x:c r="F300" s="5" t="n"/>
      <x:c r="G300" s="5" t="n"/>
      <x:c r="H300" s="2" t="n"/>
      <x:c r="I300" s="6" t="n"/>
      <x:c r="J300" s="6" t="n"/>
      <x:c r="K300" s="7" t="n"/>
      <x:c r="L300" s="7" t="n"/>
      <x:c r="M300" s="7" t="n"/>
      <x:c r="N300" s="7" t="n"/>
      <x:c r="O300" s="2" t="n"/>
      <x:c r="P300" s="7" t="n"/>
      <x:c r="Q300" s="7" t="n"/>
      <x:c r="R300" s="7" t="n"/>
      <x:c r="S300" s="7" t="n"/>
      <x:c r="T300" s="2" t="n"/>
      <x:c r="U300" s="7" t="n"/>
      <x:c r="V300" s="8">
        <x:f>IF(OR(U300="",O300="",K300=""),"", (U300-K300)*O300)</x:f>
      </x:c>
      <x:c r="W300" s="8">
        <x:f>IF(V300="","", V300-S300)</x:f>
      </x:c>
      <x:c r="X300" s="9">
        <x:f>IF(OR(W300="",N300=0),"", W300/N300)</x:f>
      </x:c>
      <x:c r="Y300" s="10">
        <x:f>IF(OR(W300="",Config!$B$2=0,Config!$B$1=0),"", W300/(Config!$B$1*Config!$B$2))</x:f>
      </x:c>
      <x:c r="Z300" s="2" t="inlineStr">
        <x:is>
          <x:t xml:space="preserve"/>
        </x:is>
      </x:c>
    </x:row>
    <x:row r="301">
      <x:c r="A301" s="2" t="n"/>
      <x:c r="B301" s="3" t="n"/>
      <x:c r="C301" s="2" t="n"/>
      <x:c r="D301" s="4" t="n"/>
      <x:c r="E301" s="2" t="n"/>
      <x:c r="F301" s="5" t="n"/>
      <x:c r="G301" s="5" t="n"/>
      <x:c r="H301" s="2" t="n"/>
      <x:c r="I301" s="6" t="n"/>
      <x:c r="J301" s="6" t="n"/>
      <x:c r="K301" s="7" t="n"/>
      <x:c r="L301" s="7" t="n"/>
      <x:c r="M301" s="7" t="n"/>
      <x:c r="N301" s="7" t="n"/>
      <x:c r="O301" s="2" t="n"/>
      <x:c r="P301" s="7" t="n"/>
      <x:c r="Q301" s="7" t="n"/>
      <x:c r="R301" s="7" t="n"/>
      <x:c r="S301" s="7" t="n"/>
      <x:c r="T301" s="2" t="n"/>
      <x:c r="U301" s="7" t="n"/>
      <x:c r="V301" s="8">
        <x:f>IF(OR(U301="",O301="",K301=""),"", (U301-K301)*O301)</x:f>
      </x:c>
      <x:c r="W301" s="8">
        <x:f>IF(V301="","", V301-S301)</x:f>
      </x:c>
      <x:c r="X301" s="9">
        <x:f>IF(OR(W301="",N301=0),"", W301/N301)</x:f>
      </x:c>
      <x:c r="Y301" s="10">
        <x:f>IF(OR(W301="",Config!$B$2=0,Config!$B$1=0),"", W301/(Config!$B$1*Config!$B$2))</x:f>
      </x:c>
      <x:c r="Z301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e5da58781e749d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4" customWidth="1"/>
    <x:col min="3" max="3" width="52" customWidth="1"/>
  </x:cols>
  <x:sheetData>
    <x:row r="1">
      <x:c r="A1" s="11" t="inlineStr">
        <x:is>
          <x:t xml:space="preserve">Parámetro</x:t>
        </x:is>
      </x:c>
      <x:c r="B1" s="11" t="inlineStr">
        <x:is>
          <x:t xml:space="preserve">Valor</x:t>
        </x:is>
      </x:c>
      <x:c r="C1" s="11" t="inlineStr">
        <x:is>
          <x:t xml:space="preserve">Descripción</x:t>
        </x:is>
      </x:c>
    </x:row>
    <x:row r="2">
      <x:c r="A2" s="12" t="inlineStr">
        <x:is>
          <x:t xml:space="preserve">Capital total</x:t>
        </x:is>
      </x:c>
      <x:c r="B2" s="13" t="n">
        <x:v>10000</x:v>
      </x:c>
      <x:c r="C2" s="14" t="inlineStr">
        <x:is>
          <x:t xml:space="preserve">Capital total disponible para la cuenta</x:t>
        </x:is>
      </x:c>
    </x:row>
    <x:row r="3">
      <x:c r="A3" s="12" t="inlineStr">
        <x:is>
          <x:t xml:space="preserve">Riesgo por trade</x:t>
        </x:is>
      </x:c>
      <x:c r="B3" s="15" t="n">
        <x:v>0.01</x:v>
      </x:c>
      <x:c r="C3" s="14" t="inlineStr">
        <x:is>
          <x:t xml:space="preserve">Porcentaje de capital arriesgado por operación</x:t>
        </x:is>
      </x:c>
    </x:row>
    <x:row r="4">
      <x:c r="A4" s="12" t="inlineStr">
        <x:is>
          <x:t xml:space="preserve">Comisión compra</x:t>
        </x:is>
      </x:c>
      <x:c r="B4" s="13" t="n">
        <x:v>1</x:v>
      </x:c>
      <x:c r="C4" s="14" t="inlineStr">
        <x:is>
          <x:t xml:space="preserve">Comisión fija de compra en euros</x:t>
        </x:is>
      </x:c>
    </x:row>
    <x:row r="5">
      <x:c r="A5" s="12" t="inlineStr">
        <x:is>
          <x:t xml:space="preserve">Comisión venta</x:t>
        </x:is>
      </x:c>
      <x:c r="B5" s="13" t="n">
        <x:v>1</x:v>
      </x:c>
      <x:c r="C5" s="14" t="inlineStr">
        <x:is>
          <x:t xml:space="preserve">Comisión fija de venta en euros</x:t>
        </x:is>
      </x:c>
    </x:row>
    <x:row r="6">
      <x:c r="A6" s="12" t="inlineStr">
        <x:is>
          <x:t xml:space="preserve">Aplicar Tobin</x:t>
        </x:is>
      </x:c>
      <x:c r="B6" s="13" t="inlineStr">
        <x:is>
          <x:t xml:space="preserve">Sí</x:t>
        </x:is>
      </x:c>
      <x:c r="C6" s="14" t="inlineStr">
        <x:is>
          <x:t xml:space="preserve">Aplicar aproximación Tobin 0,2% a acciones españolas</x:t>
        </x:is>
      </x:c>
    </x:row>
    <x:row r="7">
      <x:c r="A7" s="12" t="inlineStr">
        <x:is>
          <x:t xml:space="preserve">Tasa Tobin</x:t>
        </x:is>
      </x:c>
      <x:c r="B7" s="15" t="n">
        <x:v>0.002</x:v>
      </x:c>
      <x:c r="C7" s="14" t="inlineStr">
        <x:is>
          <x:t xml:space="preserve">Tasa Tobin usada en la compra para .MC</x:t>
        </x:is>
      </x:c>
    </x:row>
  </x:sheetData>
  <x:pageMargins left="0.7" right="0.7" top="0.75" bottom="0.75" header="0.3" footer="0.3"/>
  <x:legacyDrawing xmlns:r="http://schemas.openxmlformats.org/officeDocument/2006/relationships" r:id="R250b8874c63f4a6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6" customWidth="1"/>
  </x:cols>
  <x:sheetData>
    <x:row r="1">
      <x:c r="A1" s="16" t="inlineStr">
        <x:is>
          <x:t xml:space="preserve">Resumen de seguimiento</x:t>
        </x:is>
      </x:c>
    </x:row>
    <x:row r="2">
      <x:c r="A2" s="2" t="n"/>
      <x:c r="B2" s="2" t="n"/>
    </x:row>
    <x:row r="3">
      <x:c r="A3" s="17" t="inlineStr">
        <x:is>
          <x:t xml:space="preserve">Operaciones cerradas</x:t>
        </x:is>
      </x:c>
      <x:c r="B3" s="18">
        <x:f>COUNTIF(Operaciones!Z:Z,"CERRADA")</x:f>
        <x:v>0</x:v>
      </x:c>
    </x:row>
    <x:row r="4">
      <x:c r="A4" s="17" t="inlineStr">
        <x:is>
          <x:t xml:space="preserve">Operaciones abiertas</x:t>
        </x:is>
      </x:c>
      <x:c r="B4" s="18">
        <x:f>COUNTIF(Operaciones!Z:Z,"ABIERTA")</x:f>
        <x:v>0</x:v>
      </x:c>
    </x:row>
    <x:row r="5">
      <x:c r="A5" s="17" t="inlineStr">
        <x:is>
          <x:t xml:space="preserve">% acierto</x:t>
        </x:is>
      </x:c>
      <x:c r="B5" s="19">
        <x:f>IFERROR(COUNTIFS(Operaciones!Z:Z,"CERRADA",Operaciones!W:W,"&gt;0")/COUNTIF(Operaciones!Z:Z,"CERRADA"),0)</x:f>
        <x:v>0</x:v>
      </x:c>
    </x:row>
    <x:row r="6">
      <x:c r="A6" s="17" t="inlineStr">
        <x:is>
          <x:t xml:space="preserve">Resultado bruto total</x:t>
        </x:is>
      </x:c>
      <x:c r="B6" s="20">
        <x:f>SUM(Operaciones!V:V)</x:f>
        <x:v>0</x:v>
      </x:c>
    </x:row>
    <x:row r="7">
      <x:c r="A7" s="17" t="inlineStr">
        <x:is>
          <x:t xml:space="preserve">Resultado neto total</x:t>
        </x:is>
      </x:c>
      <x:c r="B7" s="20">
        <x:f>SUM(Operaciones!W:W)</x:f>
        <x:v>0</x:v>
      </x:c>
    </x:row>
    <x:row r="8">
      <x:c r="A8" s="17" t="inlineStr">
        <x:is>
          <x:t xml:space="preserve">Rentabilidad media</x:t>
        </x:is>
      </x:c>
      <x:c r="B8" s="21">
        <x:f>IFERROR(AVERAGEIFS(Operaciones!X:X,Operaciones!Z:Z,"CERRADA"),0)</x:f>
        <x:v>0</x:v>
      </x:c>
    </x:row>
    <x:row r="9">
      <x:c r="A9" s="17" t="inlineStr">
        <x:is>
          <x:t xml:space="preserve">R/B medio</x:t>
        </x:is>
      </x:c>
      <x:c r="B9" s="22">
        <x:f>IFERROR(AVERAGEIFS(Operaciones!I:I,Operaciones!Z:Z,"CERRADA"),0)</x:f>
        <x:v>0</x:v>
      </x:c>
    </x:row>
    <x:row r="10">
      <x:c r="A10" s="17" t="inlineStr">
        <x:is>
          <x:t xml:space="preserve">R resultado medio</x:t>
        </x:is>
      </x:c>
      <x:c r="B10" s="22">
        <x:f>IFERROR(AVERAGEIFS(Operaciones!Y:Y,Operaciones!Z:Z,"CERRADA"),0)</x:f>
        <x:v>0</x:v>
      </x:c>
    </x:row>
    <x:row r="11">
      <x:c r="A11" s="17" t="inlineStr">
        <x:is>
          <x:t xml:space="preserve">Profit factor</x:t>
        </x:is>
      </x:c>
      <x:c r="B11" s="23">
        <x:f>IFERROR(SUMIF(Operaciones!W:W,"&gt;0",Operaciones!W:W)/ABS(SUMIF(Operaciones!W:W,"&lt;0",Operaciones!W:W)),0)</x:f>
        <x:v>0</x:v>
      </x:c>
    </x:row>
  </x:sheetData>
  <x:mergeCells>
    <x:mergeCell ref="A1:B1"/>
  </x:mergeCells>
  <x:pageMargins left="0.7" right="0.7" top="0.75" bottom="0.75" header="0.3" footer="0.3"/>
</x:worksheet>
</file>